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B962F55-AFCC-4EA8-B5AB-68FC4B794ED7}" xr6:coauthVersionLast="47" xr6:coauthVersionMax="47" xr10:uidLastSave="{00000000-0000-0000-0000-000000000000}"/>
  <bookViews>
    <workbookView xWindow="825" yWindow="1125" windowWidth="13380" windowHeight="12255" firstSheet="1" activeTab="1" xr2:uid="{00000000-000D-0000-FFFF-FFFF00000000}"/>
  </bookViews>
  <sheets>
    <sheet name="PLANJ FINANCEIRO 2024" sheetId="8" r:id="rId1"/>
    <sheet name="PLANJ 2025" sheetId="18" r:id="rId2"/>
    <sheet name="METAS DE VENDAS" sheetId="7" r:id="rId3"/>
    <sheet name="PLANO DE AÇÃO VENDAS" sheetId="10" r:id="rId4"/>
    <sheet name="PLANO DE AÇÃO ADM" sheetId="12" r:id="rId5"/>
  </sheets>
  <definedNames>
    <definedName name="_xlnm._FilterDatabase" localSheetId="0" hidden="1">'PLANJ FINANCEIRO 2024'!$A$6:$AK$6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9" i="7" l="1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5" i="7"/>
  <c r="D39" i="7"/>
  <c r="D89" i="18"/>
  <c r="D93" i="18" s="1"/>
  <c r="E89" i="18"/>
  <c r="F89" i="18"/>
  <c r="G89" i="18"/>
  <c r="H89" i="18"/>
  <c r="I89" i="18"/>
  <c r="J89" i="18"/>
  <c r="K89" i="18"/>
  <c r="L89" i="18"/>
  <c r="M89" i="18"/>
  <c r="N89" i="18"/>
  <c r="O89" i="18"/>
  <c r="P89" i="18"/>
  <c r="Q89" i="18"/>
  <c r="R89" i="18"/>
  <c r="S89" i="18"/>
  <c r="T89" i="18"/>
  <c r="U89" i="18"/>
  <c r="V89" i="18"/>
  <c r="W89" i="18"/>
  <c r="X89" i="18"/>
  <c r="Y89" i="18"/>
  <c r="Z89" i="18"/>
  <c r="AA89" i="18"/>
  <c r="AB89" i="18"/>
  <c r="AC89" i="18"/>
  <c r="AD89" i="18"/>
  <c r="AE89" i="18"/>
  <c r="AF89" i="18"/>
  <c r="AG89" i="18"/>
  <c r="AH89" i="18"/>
  <c r="AI89" i="18"/>
  <c r="AJ89" i="18"/>
  <c r="AK89" i="18"/>
  <c r="C27" i="18"/>
  <c r="D27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AA27" i="18"/>
  <c r="AB27" i="18"/>
  <c r="AC27" i="18"/>
  <c r="AD27" i="18"/>
  <c r="AE27" i="18"/>
  <c r="AF27" i="18"/>
  <c r="AG27" i="18"/>
  <c r="AH27" i="18"/>
  <c r="AI27" i="18"/>
  <c r="AJ27" i="18"/>
  <c r="AK27" i="18"/>
  <c r="B27" i="18"/>
  <c r="C99" i="18" l="1"/>
  <c r="U15" i="18"/>
  <c r="U93" i="18" s="1"/>
  <c r="R15" i="18"/>
  <c r="R93" i="18" s="1"/>
  <c r="O15" i="18"/>
  <c r="O93" i="18" s="1"/>
  <c r="N15" i="18"/>
  <c r="N93" i="18" s="1"/>
  <c r="L15" i="18"/>
  <c r="L93" i="18" s="1"/>
  <c r="C15" i="18" l="1"/>
  <c r="E15" i="18"/>
  <c r="E93" i="18" s="1"/>
  <c r="F15" i="18"/>
  <c r="F93" i="18" s="1"/>
  <c r="G15" i="18"/>
  <c r="G93" i="18" s="1"/>
  <c r="H15" i="18"/>
  <c r="H93" i="18" s="1"/>
  <c r="I15" i="18"/>
  <c r="I93" i="18" s="1"/>
  <c r="J15" i="18"/>
  <c r="J93" i="18" s="1"/>
  <c r="K15" i="18"/>
  <c r="K93" i="18" s="1"/>
  <c r="M15" i="18"/>
  <c r="M93" i="18" s="1"/>
  <c r="P15" i="18"/>
  <c r="P93" i="18" s="1"/>
  <c r="Q15" i="18"/>
  <c r="Q93" i="18" s="1"/>
  <c r="S15" i="18"/>
  <c r="S93" i="18" s="1"/>
  <c r="T15" i="18"/>
  <c r="T93" i="18" s="1"/>
  <c r="V15" i="18"/>
  <c r="V93" i="18" s="1"/>
  <c r="W15" i="18"/>
  <c r="W93" i="18" s="1"/>
  <c r="X15" i="18"/>
  <c r="X93" i="18" s="1"/>
  <c r="Y15" i="18"/>
  <c r="Y93" i="18" s="1"/>
  <c r="Z15" i="18"/>
  <c r="Z93" i="18" s="1"/>
  <c r="AA15" i="18"/>
  <c r="AA93" i="18" s="1"/>
  <c r="AB15" i="18"/>
  <c r="AB93" i="18" s="1"/>
  <c r="AC15" i="18"/>
  <c r="AC93" i="18" s="1"/>
  <c r="AD15" i="18"/>
  <c r="AD93" i="18" s="1"/>
  <c r="AE15" i="18"/>
  <c r="AE93" i="18" s="1"/>
  <c r="AF15" i="18"/>
  <c r="AF93" i="18" s="1"/>
  <c r="AG15" i="18"/>
  <c r="AG93" i="18" s="1"/>
  <c r="AH15" i="18"/>
  <c r="AH93" i="18" s="1"/>
  <c r="AI15" i="18"/>
  <c r="AI93" i="18" s="1"/>
  <c r="AJ15" i="18"/>
  <c r="AJ93" i="18" s="1"/>
  <c r="AK15" i="18"/>
  <c r="AK93" i="18" s="1"/>
  <c r="B15" i="1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B99" i="18" l="1"/>
  <c r="AH28" i="18"/>
  <c r="J28" i="18"/>
  <c r="AG28" i="18"/>
  <c r="I28" i="18"/>
  <c r="AI28" i="18"/>
  <c r="AA28" i="18"/>
  <c r="S28" i="18"/>
  <c r="K28" i="18"/>
  <c r="C28" i="18"/>
  <c r="Z28" i="18"/>
  <c r="E28" i="18"/>
  <c r="R28" i="18"/>
  <c r="AD28" i="18"/>
  <c r="V28" i="18"/>
  <c r="N28" i="18"/>
  <c r="F28" i="18"/>
  <c r="Y28" i="18"/>
  <c r="Q28" i="18"/>
  <c r="AK28" i="18"/>
  <c r="AC28" i="18"/>
  <c r="U28" i="18"/>
  <c r="M28" i="18"/>
  <c r="AJ28" i="18"/>
  <c r="AB28" i="18"/>
  <c r="T28" i="18"/>
  <c r="L28" i="18"/>
  <c r="D28" i="18"/>
  <c r="X28" i="18"/>
  <c r="AF28" i="18"/>
  <c r="P28" i="18"/>
  <c r="AE28" i="18"/>
  <c r="W28" i="18"/>
  <c r="G28" i="18"/>
  <c r="H28" i="18"/>
  <c r="C89" i="18"/>
  <c r="C93" i="18" s="1"/>
  <c r="B89" i="18"/>
  <c r="B93" i="18" s="1"/>
  <c r="B28" i="18"/>
  <c r="B91" i="18" l="1"/>
  <c r="B101" i="18"/>
  <c r="C101" i="18"/>
  <c r="R91" i="18"/>
  <c r="J91" i="18"/>
  <c r="U91" i="18"/>
  <c r="V91" i="18"/>
  <c r="AD91" i="18"/>
  <c r="AC91" i="18"/>
  <c r="N91" i="18"/>
  <c r="F91" i="18"/>
  <c r="AG91" i="18"/>
  <c r="C91" i="18"/>
  <c r="P91" i="18"/>
  <c r="AH91" i="18"/>
  <c r="Z91" i="18"/>
  <c r="S91" i="18"/>
  <c r="AA91" i="18"/>
  <c r="AI91" i="18"/>
  <c r="G91" i="18"/>
  <c r="AF91" i="18"/>
  <c r="H91" i="18"/>
  <c r="X91" i="18"/>
  <c r="K91" i="18"/>
  <c r="T91" i="18"/>
  <c r="AJ91" i="18"/>
  <c r="AK91" i="18"/>
  <c r="E91" i="18"/>
  <c r="W91" i="18"/>
  <c r="Y91" i="18"/>
  <c r="D91" i="18"/>
  <c r="L91" i="18"/>
  <c r="AB91" i="18"/>
  <c r="Q91" i="18"/>
  <c r="I91" i="18"/>
  <c r="AE91" i="18"/>
  <c r="M91" i="18"/>
  <c r="J90" i="18"/>
  <c r="R90" i="18"/>
  <c r="AH90" i="18"/>
  <c r="S90" i="18"/>
  <c r="AA90" i="18"/>
  <c r="L90" i="18"/>
  <c r="AB90" i="18"/>
  <c r="AJ90" i="18"/>
  <c r="V90" i="18"/>
  <c r="AE90" i="18"/>
  <c r="D90" i="18"/>
  <c r="M90" i="18"/>
  <c r="U90" i="18"/>
  <c r="AK90" i="18"/>
  <c r="AI90" i="18"/>
  <c r="AC90" i="18"/>
  <c r="Z90" i="18"/>
  <c r="W90" i="18"/>
  <c r="T90" i="18"/>
  <c r="K90" i="18"/>
  <c r="E90" i="18"/>
  <c r="C90" i="18"/>
  <c r="B90" i="18"/>
  <c r="F90" i="18"/>
  <c r="AD90" i="18"/>
  <c r="X90" i="18"/>
  <c r="Y90" i="18"/>
  <c r="N90" i="18"/>
  <c r="B98" i="18"/>
  <c r="B100" i="18" s="1"/>
  <c r="H90" i="18"/>
  <c r="AF90" i="18"/>
  <c r="Q90" i="18"/>
  <c r="G90" i="18"/>
  <c r="P90" i="18"/>
  <c r="I90" i="18"/>
  <c r="AG90" i="18"/>
  <c r="C11" i="8"/>
  <c r="D11" i="8"/>
  <c r="D18" i="8" s="1"/>
  <c r="E11" i="8"/>
  <c r="E18" i="8" s="1"/>
  <c r="F11" i="8"/>
  <c r="F18" i="8" s="1"/>
  <c r="G11" i="8"/>
  <c r="G18" i="8" s="1"/>
  <c r="H11" i="8"/>
  <c r="H18" i="8" s="1"/>
  <c r="I11" i="8"/>
  <c r="I18" i="8" s="1"/>
  <c r="J11" i="8"/>
  <c r="J18" i="8" s="1"/>
  <c r="K11" i="8"/>
  <c r="K18" i="8" s="1"/>
  <c r="L11" i="8"/>
  <c r="L18" i="8" s="1"/>
  <c r="M11" i="8"/>
  <c r="M18" i="8" s="1"/>
  <c r="N11" i="8"/>
  <c r="N18" i="8" s="1"/>
  <c r="O11" i="8"/>
  <c r="O18" i="8" s="1"/>
  <c r="P11" i="8"/>
  <c r="P18" i="8" s="1"/>
  <c r="Q11" i="8"/>
  <c r="Q18" i="8" s="1"/>
  <c r="R11" i="8"/>
  <c r="R18" i="8" s="1"/>
  <c r="S11" i="8"/>
  <c r="S18" i="8" s="1"/>
  <c r="T11" i="8"/>
  <c r="T18" i="8" s="1"/>
  <c r="U11" i="8"/>
  <c r="U18" i="8" s="1"/>
  <c r="V11" i="8"/>
  <c r="V18" i="8" s="1"/>
  <c r="W11" i="8"/>
  <c r="W18" i="8" s="1"/>
  <c r="X11" i="8"/>
  <c r="X18" i="8" s="1"/>
  <c r="Y11" i="8"/>
  <c r="Y18" i="8" s="1"/>
  <c r="Z11" i="8"/>
  <c r="Z18" i="8" s="1"/>
  <c r="AA11" i="8"/>
  <c r="AA18" i="8" s="1"/>
  <c r="AB11" i="8"/>
  <c r="AB18" i="8" s="1"/>
  <c r="AC11" i="8"/>
  <c r="AC18" i="8" s="1"/>
  <c r="AD11" i="8"/>
  <c r="AD18" i="8" s="1"/>
  <c r="AE11" i="8"/>
  <c r="AE18" i="8" s="1"/>
  <c r="AF11" i="8"/>
  <c r="AF18" i="8" s="1"/>
  <c r="AG11" i="8"/>
  <c r="AG18" i="8" s="1"/>
  <c r="AH11" i="8"/>
  <c r="AH18" i="8" s="1"/>
  <c r="AI11" i="8"/>
  <c r="AI18" i="8" s="1"/>
  <c r="AJ11" i="8"/>
  <c r="AJ18" i="8" s="1"/>
  <c r="AK11" i="8"/>
  <c r="AK18" i="8" s="1"/>
  <c r="B11" i="8"/>
  <c r="C18" i="8" l="1"/>
  <c r="C81" i="8"/>
  <c r="B18" i="8"/>
  <c r="B81" i="8"/>
  <c r="B102" i="18"/>
  <c r="C110" i="18"/>
  <c r="C111" i="18" s="1"/>
  <c r="C87" i="8" l="1"/>
  <c r="C88" i="8" s="1"/>
  <c r="C89" i="8" s="1"/>
  <c r="U72" i="8"/>
  <c r="U74" i="8" s="1"/>
  <c r="U73" i="8" l="1"/>
  <c r="U76" i="8" l="1"/>
  <c r="C72" i="8"/>
  <c r="D72" i="8"/>
  <c r="D74" i="8" s="1"/>
  <c r="E72" i="8"/>
  <c r="E74" i="8" s="1"/>
  <c r="F72" i="8"/>
  <c r="F74" i="8" s="1"/>
  <c r="G72" i="8"/>
  <c r="G74" i="8" s="1"/>
  <c r="H72" i="8"/>
  <c r="H74" i="8" s="1"/>
  <c r="I72" i="8"/>
  <c r="I74" i="8" s="1"/>
  <c r="J72" i="8"/>
  <c r="J74" i="8" s="1"/>
  <c r="K72" i="8"/>
  <c r="K74" i="8" s="1"/>
  <c r="L72" i="8"/>
  <c r="L74" i="8" s="1"/>
  <c r="M72" i="8"/>
  <c r="M74" i="8" s="1"/>
  <c r="N72" i="8"/>
  <c r="N74" i="8" s="1"/>
  <c r="O72" i="8"/>
  <c r="O74" i="8" s="1"/>
  <c r="P72" i="8"/>
  <c r="P74" i="8" s="1"/>
  <c r="Q72" i="8"/>
  <c r="Q74" i="8" s="1"/>
  <c r="R72" i="8"/>
  <c r="R74" i="8" s="1"/>
  <c r="S72" i="8"/>
  <c r="S74" i="8" s="1"/>
  <c r="T72" i="8"/>
  <c r="T74" i="8" s="1"/>
  <c r="V72" i="8"/>
  <c r="V74" i="8" s="1"/>
  <c r="W72" i="8"/>
  <c r="W74" i="8" s="1"/>
  <c r="X72" i="8"/>
  <c r="X74" i="8" s="1"/>
  <c r="Y72" i="8"/>
  <c r="Y74" i="8" s="1"/>
  <c r="Z72" i="8"/>
  <c r="Z74" i="8" s="1"/>
  <c r="AA72" i="8"/>
  <c r="AA74" i="8" s="1"/>
  <c r="AB72" i="8"/>
  <c r="AB74" i="8" s="1"/>
  <c r="AC72" i="8"/>
  <c r="AC74" i="8" s="1"/>
  <c r="AD72" i="8"/>
  <c r="AD74" i="8" s="1"/>
  <c r="AE72" i="8"/>
  <c r="AE74" i="8" s="1"/>
  <c r="AF72" i="8"/>
  <c r="AF74" i="8" s="1"/>
  <c r="AG72" i="8"/>
  <c r="AG74" i="8" s="1"/>
  <c r="AH72" i="8"/>
  <c r="AH74" i="8" s="1"/>
  <c r="AI72" i="8"/>
  <c r="AI74" i="8" s="1"/>
  <c r="AJ72" i="8"/>
  <c r="AJ74" i="8" s="1"/>
  <c r="AK72" i="8"/>
  <c r="AK74" i="8" s="1"/>
  <c r="C82" i="8" l="1"/>
  <c r="C74" i="8"/>
  <c r="AG76" i="8"/>
  <c r="AG73" i="8"/>
  <c r="Y76" i="8"/>
  <c r="Y73" i="8"/>
  <c r="L73" i="8"/>
  <c r="H73" i="8"/>
  <c r="D73" i="8"/>
  <c r="AJ73" i="8"/>
  <c r="AF73" i="8"/>
  <c r="AB73" i="8"/>
  <c r="X73" i="8"/>
  <c r="S73" i="8"/>
  <c r="O73" i="8"/>
  <c r="K73" i="8"/>
  <c r="G73" i="8"/>
  <c r="C73" i="8"/>
  <c r="AK76" i="8"/>
  <c r="AK73" i="8"/>
  <c r="AC76" i="8"/>
  <c r="AC73" i="8"/>
  <c r="P73" i="8"/>
  <c r="AI73" i="8"/>
  <c r="AE73" i="8"/>
  <c r="AA73" i="8"/>
  <c r="W73" i="8"/>
  <c r="R73" i="8"/>
  <c r="N73" i="8"/>
  <c r="J73" i="8"/>
  <c r="F73" i="8"/>
  <c r="T73" i="8"/>
  <c r="AH73" i="8"/>
  <c r="AD73" i="8"/>
  <c r="Z73" i="8"/>
  <c r="V73" i="8"/>
  <c r="Q73" i="8"/>
  <c r="M73" i="8"/>
  <c r="I73" i="8"/>
  <c r="E73" i="8"/>
  <c r="J76" i="8"/>
  <c r="Q76" i="8"/>
  <c r="I76" i="8"/>
  <c r="R76" i="8"/>
  <c r="W76" i="8"/>
  <c r="G76" i="8"/>
  <c r="AD76" i="8"/>
  <c r="V76" i="8"/>
  <c r="N76" i="8"/>
  <c r="F76" i="8"/>
  <c r="O76" i="8"/>
  <c r="M76" i="8"/>
  <c r="E76" i="8"/>
  <c r="AJ76" i="8"/>
  <c r="AB76" i="8"/>
  <c r="T76" i="8"/>
  <c r="L76" i="8"/>
  <c r="D76" i="8"/>
  <c r="AI76" i="8"/>
  <c r="AA76" i="8"/>
  <c r="S76" i="8"/>
  <c r="K76" i="8"/>
  <c r="C76" i="8"/>
  <c r="Z76" i="8"/>
  <c r="AF76" i="8"/>
  <c r="X76" i="8"/>
  <c r="P76" i="8"/>
  <c r="H76" i="8"/>
  <c r="AH76" i="8"/>
  <c r="AE76" i="8"/>
  <c r="D82" i="8" l="1"/>
  <c r="C83" i="8"/>
  <c r="B36" i="7"/>
  <c r="D85" i="8" l="1"/>
  <c r="D84" i="8"/>
  <c r="B72" i="8"/>
  <c r="B82" i="8" s="1"/>
  <c r="B83" i="8" s="1"/>
  <c r="G36" i="7"/>
  <c r="B74" i="8" l="1"/>
  <c r="B76" i="8"/>
  <c r="B73" i="8"/>
  <c r="H36" i="7" l="1"/>
  <c r="I36" i="7" s="1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6" i="7"/>
  <c r="C36" i="7" l="1"/>
  <c r="D36" i="7" l="1"/>
  <c r="C98" i="18"/>
  <c r="O90" i="18"/>
  <c r="O28" i="18"/>
  <c r="O91" i="18"/>
  <c r="D99" i="18" l="1"/>
  <c r="C106" i="18"/>
  <c r="D101" i="18"/>
  <c r="C100" i="18"/>
  <c r="C102" i="18" s="1"/>
  <c r="D104" i="18" s="1"/>
  <c r="C107" i="18" l="1"/>
  <c r="C108" i="18" s="1"/>
  <c r="D103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8" authorId="0" shapeId="0" xr:uid="{4AA5E3F6-128B-4F73-9DC6-6E4ECDA5E60E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 Total dos Fornecedores divido pela receita total X 100 = </t>
        </r>
      </text>
    </comment>
    <comment ref="A20" authorId="0" shapeId="0" xr:uid="{FCFABB2C-5BA9-4076-A097-4E0AFC25AA4E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Arial"/>
            <family val="2"/>
          </rPr>
          <t>são aquelas que não tem nenhuma relação com o custo do produto</t>
        </r>
      </text>
    </comment>
    <comment ref="A44" authorId="0" shapeId="0" xr:uid="{A4993740-00E1-4BF2-B1F2-E56A70DDC604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sabão, pano de chão, balde...</t>
        </r>
      </text>
    </comment>
    <comment ref="A45" authorId="0" shapeId="0" xr:uid="{BA1697C1-C917-408A-A81B-28DA29A6F0E3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deverão ser contb papel, sacolas, copos descartaveis </t>
        </r>
      </text>
    </comment>
    <comment ref="A71" authorId="0" shapeId="0" xr:uid="{058B1287-0CDB-4C46-96E4-19466E61F24A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Tonner, caneta, papel sulfite </t>
        </r>
      </text>
    </comment>
    <comment ref="A73" authorId="0" shapeId="0" xr:uid="{06F38C8D-F020-4CA2-BFBA-80BFFA0895A2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RECEITA - CUSTO FIXO.
DESCONSIDEREI FORNECEDOR</t>
        </r>
      </text>
    </comment>
    <comment ref="A74" authorId="0" shapeId="0" xr:uid="{13228647-78A3-4A70-BDAC-F9444AAF882F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RECEITA TOTAL-CUSTO FIXO-CUSTO VARIAVEL =?</t>
        </r>
      </text>
    </comment>
    <comment ref="A76" authorId="0" shapeId="0" xr:uid="{EE777BE0-3173-4024-B8AD-D8E6ACDA18AF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0"/>
            <color indexed="81"/>
            <rFont val="Arial"/>
            <family val="2"/>
          </rPr>
          <t xml:space="preserve">despesas fixa divido pela receita total X 100 = </t>
        </r>
      </text>
    </comment>
    <comment ref="E84" authorId="0" shapeId="0" xr:uid="{85C3B706-6449-4B60-A55D-833B5FE3887A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0"/>
            <color indexed="81"/>
            <rFont val="Arial"/>
            <family val="2"/>
          </rPr>
          <t>podendo ser considerado a Rentabilidade do ativo do lucro liquido sobre as vendas no período  analisado, ou seja, quanto maior o índice melhor é.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Admin</author>
  </authors>
  <commentList>
    <comment ref="R14" authorId="0" shapeId="0" xr:uid="{6484A9BD-B80B-4208-A22E-8352482757D2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sergio deu  baixa sem débito não tem financeiro </t>
        </r>
      </text>
    </comment>
    <comment ref="T14" authorId="0" shapeId="0" xr:uid="{E416A658-CBF0-4235-8799-92525893723C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valor informativo, não esta contando no valor total</t>
        </r>
      </text>
    </comment>
    <comment ref="U14" authorId="0" shapeId="0" xr:uid="{4971DFC3-0749-4D57-9912-38F80760F3D5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valor informativo, não esta contando no valor total</t>
        </r>
      </text>
    </comment>
    <comment ref="C18" authorId="0" shapeId="0" xr:uid="{FCC2B859-48B9-462E-BD39-7BBA2ABB145E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NÃOLEVAR EM CONSIDERAÇÃO, APESAR DE ESTAR NO SISTEMA, FOI LANÇADO NOTAS RETROATIVAS </t>
        </r>
      </text>
    </comment>
    <comment ref="A28" authorId="1" shapeId="0" xr:uid="{1A788EB9-84EB-40DC-95A0-19B99141E3F2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 Total dos Fornecedores divido pela receita total X 100 = </t>
        </r>
      </text>
    </comment>
    <comment ref="A31" authorId="1" shapeId="0" xr:uid="{E27EF807-F277-4A09-9FD5-83BDBEB2AD6A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Arial"/>
            <family val="2"/>
          </rPr>
          <t>são aquelas que não tem nenhuma relação com o custo do produto</t>
        </r>
      </text>
    </comment>
    <comment ref="X34" authorId="0" shapeId="0" xr:uid="{3A21FB8F-DFA6-4BCC-90E3-3F3A9CA73BB8}">
      <text>
        <r>
          <rPr>
            <b/>
            <sz val="9"/>
            <color indexed="81"/>
            <rFont val="Segoe UI"/>
            <charset val="1"/>
          </rPr>
          <t>User:</t>
        </r>
        <r>
          <rPr>
            <sz val="9"/>
            <color indexed="81"/>
            <rFont val="Segoe UI"/>
            <charset val="1"/>
          </rPr>
          <t xml:space="preserve">
TEVE AUMENTO DE R$ 222,22 NO VALOR DO ALUGUEL, mas foi pag em dia cm desconto</t>
        </r>
      </text>
    </comment>
    <comment ref="AA34" authorId="0" shapeId="0" xr:uid="{856AC44C-E12E-4553-8F4F-A6480C5C543B}">
      <text>
        <r>
          <rPr>
            <b/>
            <sz val="9"/>
            <color indexed="81"/>
            <rFont val="Segoe UI"/>
            <charset val="1"/>
          </rPr>
          <t>User:</t>
        </r>
        <r>
          <rPr>
            <sz val="9"/>
            <color indexed="81"/>
            <rFont val="Segoe UI"/>
            <charset val="1"/>
          </rPr>
          <t xml:space="preserve">
TEVE AUMENTO DE R$ 222,22 NO VALOR DO ALUGUEL, mas foi pag em dia cm desconto</t>
        </r>
      </text>
    </comment>
    <comment ref="K40" authorId="0" shapeId="0" xr:uid="{17D4D6C6-C2B2-455D-AB32-8E7C0FA0EC4C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primeiro mês que será pago vale alimentação </t>
        </r>
      </text>
    </comment>
    <comment ref="R43" authorId="0" shapeId="0" xr:uid="{FDA6A975-701C-4D3E-A91F-451C55F7EFDC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salario Carlos </t>
        </r>
      </text>
    </comment>
    <comment ref="U43" authorId="0" shapeId="0" xr:uid="{19D341CE-8272-4C9D-94F2-391A530000AE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salario Carlos </t>
        </r>
      </text>
    </comment>
    <comment ref="R44" authorId="0" shapeId="0" xr:uid="{BA75BF94-5B58-4C29-9E27-3D866E4BA0BD}">
      <text>
        <r>
          <rPr>
            <b/>
            <sz val="9"/>
            <color indexed="81"/>
            <rFont val="Segoe UI"/>
            <family val="2"/>
          </rPr>
          <t xml:space="preserve">User:GRATIFICAÇÃO HUDSON </t>
        </r>
      </text>
    </comment>
    <comment ref="O46" authorId="0" shapeId="0" xr:uid="{0B059BDB-BD15-489B-B08F-5BF41520165C}">
      <text>
        <r>
          <rPr>
            <b/>
            <sz val="9"/>
            <color indexed="81"/>
            <rFont val="Segoe UI"/>
            <family val="2"/>
          </rPr>
          <t xml:space="preserve">User: não teve confraternização </t>
        </r>
      </text>
    </comment>
    <comment ref="U47" authorId="0" shapeId="0" xr:uid="{EE475E29-BF5A-4B97-9308-821AC4AE67BF}">
      <text>
        <r>
          <rPr>
            <b/>
            <sz val="9"/>
            <color indexed="81"/>
            <rFont val="Segoe UI"/>
            <charset val="1"/>
          </rPr>
          <t>User:</t>
        </r>
        <r>
          <rPr>
            <sz val="9"/>
            <color indexed="81"/>
            <rFont val="Segoe UI"/>
            <charset val="1"/>
          </rPr>
          <t xml:space="preserve">
coloquei uma media pois ainda não chegou </t>
        </r>
      </text>
    </comment>
    <comment ref="A49" authorId="0" shapeId="0" xr:uid="{CCE5F7C4-A461-4A9D-A283-54B4C42AF838}">
      <text>
        <r>
          <rPr>
            <b/>
            <sz val="9"/>
            <color indexed="81"/>
            <rFont val="Segoe UI"/>
            <family val="2"/>
          </rPr>
          <t>Somente os DARES lançar dentro do mês de pagto e colocar no historico a competencia original</t>
        </r>
      </text>
    </comment>
    <comment ref="A51" authorId="1" shapeId="0" xr:uid="{29173AD8-425E-46A9-A4C3-DC30672443A0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deverão ser contb papel, sacolas, copos descartaveis </t>
        </r>
      </text>
    </comment>
    <comment ref="A52" authorId="1" shapeId="0" xr:uid="{49EA26B6-0BF5-4659-B0F4-8DA6170D8A63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Tonner, caneta, papel sulfite </t>
        </r>
      </text>
    </comment>
    <comment ref="U52" authorId="0" shapeId="0" xr:uid="{D9089D8A-776D-46B6-9AC1-C0132535D104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material de escritorio n teve gastos, </t>
        </r>
      </text>
    </comment>
    <comment ref="X53" authorId="0" shapeId="0" xr:uid="{CC5264C4-9A7D-447C-9A77-C0BE2763D503}">
      <text>
        <r>
          <rPr>
            <b/>
            <sz val="9"/>
            <color indexed="81"/>
            <rFont val="Segoe UI"/>
            <charset val="1"/>
          </rPr>
          <t>User:</t>
        </r>
        <r>
          <rPr>
            <sz val="9"/>
            <color indexed="81"/>
            <rFont val="Segoe UI"/>
            <charset val="1"/>
          </rPr>
          <t xml:space="preserve">
combustivel, alimentação e combustivel de quitação posto</t>
        </r>
      </text>
    </comment>
    <comment ref="E54" authorId="0" shapeId="0" xr:uid="{DEBD229F-750F-44DA-BAF4-1DF6C0E075E1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verficar com sergio valores do sebrae 
</t>
        </r>
      </text>
    </comment>
    <comment ref="O54" authorId="0" shapeId="0" xr:uid="{AF7093D3-5842-489D-9C3B-1A4A004C4CE1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valor R$433,33 ref treinamento EPI LIOTTO 
360,00 SEBRAE 
</t>
        </r>
      </text>
    </comment>
    <comment ref="L56" authorId="0" shapeId="0" xr:uid="{F6622985-C7D2-46AD-886E-50D09E8E064C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esse valor ref celular do kevin vendas e financeiro q tbm veio com juros </t>
        </r>
      </text>
    </comment>
    <comment ref="A61" authorId="0" shapeId="0" xr:uid="{18D1A6A6-06DF-4272-979E-ACFC7CB7A958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pastas organizadoras sala vendas painel </t>
        </r>
      </text>
    </comment>
    <comment ref="O61" authorId="0" shapeId="0" xr:uid="{A304043A-28AA-451E-A13B-8FFD64D11B4F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ultima parcerla </t>
        </r>
      </text>
    </comment>
    <comment ref="U62" authorId="0" shapeId="0" xr:uid="{C74A41B9-0662-482F-A123-94BF06FF32E6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já foi pedido cancelameno </t>
        </r>
      </text>
    </comment>
    <comment ref="W62" authorId="0" shapeId="0" xr:uid="{F60D7DEC-6042-4706-A3E5-02C8586069F6}">
      <text>
        <r>
          <rPr>
            <b/>
            <sz val="9"/>
            <color indexed="81"/>
            <rFont val="Segoe UI"/>
            <charset val="1"/>
          </rPr>
          <t>User:</t>
        </r>
        <r>
          <rPr>
            <sz val="9"/>
            <color indexed="81"/>
            <rFont val="Segoe UI"/>
            <charset val="1"/>
          </rPr>
          <t xml:space="preserve">
finalizou</t>
        </r>
      </text>
    </comment>
    <comment ref="R65" authorId="0" shapeId="0" xr:uid="{071CB31C-9592-490B-9BD8-AA31127B9A07}">
      <text>
        <r>
          <rPr>
            <b/>
            <sz val="9"/>
            <color indexed="81"/>
            <rFont val="Segoe UI"/>
            <family val="2"/>
          </rPr>
          <t>User:SEGURO CARRO NOVO</t>
        </r>
      </text>
    </comment>
    <comment ref="T65" authorId="0" shapeId="0" xr:uid="{B4B9AEEF-46B7-4478-85F9-74645D256AD7}">
      <text>
        <r>
          <rPr>
            <b/>
            <sz val="9"/>
            <color indexed="81"/>
            <rFont val="Segoe UI"/>
            <family val="2"/>
          </rPr>
          <t>User:SEGURO CARRO NOVO</t>
        </r>
      </text>
    </comment>
    <comment ref="U65" authorId="0" shapeId="0" xr:uid="{A87F8CBC-C9AC-4EE1-88D0-8C53A188DAB6}">
      <text>
        <r>
          <rPr>
            <b/>
            <sz val="9"/>
            <color indexed="81"/>
            <rFont val="Segoe UI"/>
            <family val="2"/>
          </rPr>
          <t>User:SEGURO CARRO NOVO</t>
        </r>
      </text>
    </comment>
    <comment ref="W65" authorId="0" shapeId="0" xr:uid="{8B417DBE-ED97-4E99-BE21-30DF6FAFA514}">
      <text>
        <r>
          <rPr>
            <b/>
            <sz val="9"/>
            <color indexed="81"/>
            <rFont val="Segoe UI"/>
            <family val="2"/>
          </rPr>
          <t>User:SEGURO CARRO NOVO</t>
        </r>
      </text>
    </comment>
    <comment ref="X65" authorId="0" shapeId="0" xr:uid="{4E240B1B-84D6-4189-B70A-98F3A4B56187}">
      <text>
        <r>
          <rPr>
            <b/>
            <sz val="9"/>
            <color indexed="81"/>
            <rFont val="Segoe UI"/>
            <family val="2"/>
          </rPr>
          <t>User:SEGURO CARRO NOVO</t>
        </r>
      </text>
    </comment>
    <comment ref="Z65" authorId="0" shapeId="0" xr:uid="{963A3F02-8001-4B82-BEFA-3F75141C83A0}">
      <text>
        <r>
          <rPr>
            <b/>
            <sz val="9"/>
            <color indexed="81"/>
            <rFont val="Segoe UI"/>
            <family val="2"/>
          </rPr>
          <t>User:SEGURO CARRO NOVO</t>
        </r>
      </text>
    </comment>
    <comment ref="AC65" authorId="0" shapeId="0" xr:uid="{800181D4-BF10-4C0A-95B1-B5BE937B06AC}">
      <text>
        <r>
          <rPr>
            <b/>
            <sz val="9"/>
            <color indexed="81"/>
            <rFont val="Segoe UI"/>
            <family val="2"/>
          </rPr>
          <t>User:SEGURO CARRO NOVO</t>
        </r>
      </text>
    </comment>
    <comment ref="AF65" authorId="0" shapeId="0" xr:uid="{4BC83BFA-37DC-46E7-92C0-7D975C44ADE8}">
      <text>
        <r>
          <rPr>
            <b/>
            <sz val="9"/>
            <color indexed="81"/>
            <rFont val="Segoe UI"/>
            <family val="2"/>
          </rPr>
          <t>User:SEGURO CARRO NOVO</t>
        </r>
      </text>
    </comment>
    <comment ref="AI65" authorId="0" shapeId="0" xr:uid="{01BFAA5F-AB14-40B6-9D36-C08EC8826390}">
      <text>
        <r>
          <rPr>
            <b/>
            <sz val="9"/>
            <color indexed="81"/>
            <rFont val="Segoe UI"/>
            <family val="2"/>
          </rPr>
          <t>User:SEGURO CARRO NOVO</t>
        </r>
      </text>
    </comment>
    <comment ref="A68" authorId="0" shapeId="0" xr:uid="{993EC144-C4F1-43C8-AD3F-DE4A6EBD4295}">
      <text>
        <r>
          <rPr>
            <b/>
            <sz val="9"/>
            <color indexed="81"/>
            <rFont val="Segoe UI"/>
            <family val="2"/>
          </rPr>
          <t xml:space="preserve">Parc. Junto a Coop. Sicoob
36X contrato </t>
        </r>
      </text>
    </comment>
    <comment ref="N69" authorId="0" shapeId="0" xr:uid="{E0BB32E1-C123-4268-89F1-96A9930D0858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entrada de 30 mil e 68 mil finan com 12 mil juros em 12x </t>
        </r>
      </text>
    </comment>
    <comment ref="R69" authorId="0" shapeId="0" xr:uid="{E79FFFC8-5709-431F-AE46-84290E250BEA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entrada carro
lançado em aquisição imobilizados </t>
        </r>
      </text>
    </comment>
    <comment ref="T69" authorId="0" shapeId="0" xr:uid="{B06FB02D-A677-4168-A1EB-A4EF90106837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parcela 1/12</t>
        </r>
      </text>
    </comment>
    <comment ref="U69" authorId="0" shapeId="0" xr:uid="{C0105FAC-2E6C-4844-9B86-C8724639171E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parcela 1/12</t>
        </r>
      </text>
    </comment>
    <comment ref="T70" authorId="0" shapeId="0" xr:uid="{2049FAC1-8478-4C87-B281-BFCB1F979DAB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juros parcela 1/12
</t>
        </r>
      </text>
    </comment>
    <comment ref="U70" authorId="0" shapeId="0" xr:uid="{BD62CC60-3818-45F7-B6C9-E24DDD1578A5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juros parcela 1/12
</t>
        </r>
      </text>
    </comment>
    <comment ref="A71" authorId="0" shapeId="0" xr:uid="{E10E02ED-DEA9-454A-A50A-53575DF55DB7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taxas de bomb, emplacamento e licenciamento</t>
        </r>
      </text>
    </comment>
    <comment ref="Q72" authorId="0" shapeId="0" xr:uid="{3D009C27-D69C-4834-B05D-15A21AEEE902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ipva carro novvo e antigo </t>
        </r>
      </text>
    </comment>
    <comment ref="U73" authorId="0" shapeId="0" xr:uid="{875707D8-2B9F-4284-87C6-56069A06F7E6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ultima parcela!!! </t>
        </r>
      </text>
    </comment>
    <comment ref="B74" authorId="0" shapeId="0" xr:uid="{277C33C7-EB19-4F4B-8261-0C5DBEEE3039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PEDIR P LEANDRO ANOTAR NO CUPOM DESTINO DO COMBUSTIVBEL
</t>
        </r>
      </text>
    </comment>
    <comment ref="C74" authorId="0" shapeId="0" xr:uid="{EB7D0E67-3992-460D-B6EF-29F7B286BD89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PEDIR P LEANDRO ANOTAR NO CUPOM DESTINO DO COMBUSTIVBEL
</t>
        </r>
      </text>
    </comment>
    <comment ref="F74" authorId="0" shapeId="0" xr:uid="{C7205283-751A-44B1-AC4F-45D0B84C8657}">
      <text>
        <r>
          <rPr>
            <b/>
            <sz val="9"/>
            <color indexed="81"/>
            <rFont val="Segoe UI"/>
            <family val="2"/>
          </rPr>
          <t>Ref gastos dentro cidade c/ Leandro, Sergio Nfe em arquivo</t>
        </r>
      </text>
    </comment>
    <comment ref="I74" authorId="0" shapeId="0" xr:uid="{24E9ECB0-7F03-4DDB-81A3-6C0E9CEA1B62}">
      <text>
        <r>
          <rPr>
            <b/>
            <sz val="9"/>
            <color indexed="81"/>
            <rFont val="Segoe UI"/>
            <family val="2"/>
          </rPr>
          <t>Ref gastos dentro cidade c/ Leandro, Sergio Nfe em arquivo</t>
        </r>
      </text>
    </comment>
    <comment ref="R74" authorId="0" shapeId="0" xr:uid="{E0AA8485-285B-4003-8C33-76241732EC8C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combuistivel utilizado para viagem serviço, valores lançados já viagem</t>
        </r>
      </text>
    </comment>
    <comment ref="U74" authorId="0" shapeId="0" xr:uid="{08D29459-7B08-4408-8BC8-1BFFF53CE24C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ABASTECIMENTO LANÇADO EM DESPESA DE VIAGEM</t>
        </r>
      </text>
    </comment>
    <comment ref="N75" authorId="0" shapeId="0" xr:uid="{8DCCF994-E3D7-4ADD-81D7-DE048EFF362D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confecção sacolas 
personalizada
</t>
        </r>
      </text>
    </comment>
    <comment ref="O75" authorId="0" shapeId="0" xr:uid="{4681CFA9-E0BB-4419-8C42-1D891FFB25E9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confecção de sacolas </t>
        </r>
      </text>
    </comment>
    <comment ref="R75" authorId="0" shapeId="0" xr:uid="{E74F28B8-1161-46CA-A10C-12B64402C2C1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uiltima parcela compra sacolas </t>
        </r>
      </text>
    </comment>
    <comment ref="C78" authorId="0" shapeId="0" xr:uid="{5A880BD3-19F7-4373-879E-857934092866}">
      <text>
        <r>
          <rPr>
            <b/>
            <sz val="9"/>
            <color indexed="81"/>
            <rFont val="Segoe UI"/>
            <family val="2"/>
          </rPr>
          <t>divida ano 2023 alvará parcelado em 3X.</t>
        </r>
      </text>
    </comment>
    <comment ref="H83" authorId="0" shapeId="0" xr:uid="{8EAD36DE-B34B-4243-BAFD-68C766F0BCED}">
      <text>
        <r>
          <rPr>
            <b/>
            <sz val="9"/>
            <color indexed="81"/>
            <rFont val="Segoe UI"/>
            <family val="2"/>
          </rPr>
          <t xml:space="preserve">MKT foi cancelado mês de março/2025.
Sergio acompanhou 
valor ref dominio site </t>
        </r>
      </text>
    </comment>
    <comment ref="K84" authorId="0" shapeId="0" xr:uid="{E91F1D80-502A-4228-A2AD-8E1FA51AEFE4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notbook para leandro oficina </t>
        </r>
      </text>
    </comment>
    <comment ref="Q84" authorId="0" shapeId="0" xr:uid="{F6DEB7E9-D0DC-4B8B-8BA4-82673B5841E0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entrada carro
</t>
        </r>
      </text>
    </comment>
    <comment ref="R84" authorId="0" shapeId="0" xr:uid="{0019673A-94E1-4AD8-BB87-D4B0E74FCAF9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entrada carro
</t>
        </r>
      </text>
    </comment>
    <comment ref="I85" authorId="0" shapeId="0" xr:uid="{5189E28F-B2E0-4C9E-9A71-FD3E7BBE464C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frete compra de  pc </t>
        </r>
      </text>
    </comment>
    <comment ref="L85" authorId="0" shapeId="0" xr:uid="{159E3F47-E705-44A3-A2BF-32CBA664AA43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manutenção celular que queimou e instalação de sistema no notbook novo leandro </t>
        </r>
      </text>
    </comment>
    <comment ref="U87" authorId="0" shapeId="0" xr:uid="{8D9DF3C5-D455-4C9C-8ED6-AD281DBB74F5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limpeza barração</t>
        </r>
      </text>
    </comment>
    <comment ref="U88" authorId="0" shapeId="0" xr:uid="{EF978AD3-23AF-4939-9379-7E6476CD0DA4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garantia de peças lucioamar despesa 
</t>
        </r>
      </text>
    </comment>
    <comment ref="A90" authorId="1" shapeId="0" xr:uid="{C2DB170B-EE62-4F12-9CAD-3E44310FF708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RECEITA - CUSTO FIXO.
DESCONSIDEREI FORNECEDOR</t>
        </r>
      </text>
    </comment>
    <comment ref="A91" authorId="1" shapeId="0" xr:uid="{2459FF82-E88A-48B4-AFF0-00C6093C2686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RECEITA TOTAL-CUSTO FIXO-CUSTO VARIAVEL =?</t>
        </r>
      </text>
    </comment>
    <comment ref="A93" authorId="1" shapeId="0" xr:uid="{E737E7D6-D59C-4815-BB6E-385748107EAB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0"/>
            <color indexed="81"/>
            <rFont val="Arial"/>
            <family val="2"/>
          </rPr>
          <t xml:space="preserve">despesas fixa divido pela receita total X 100 = </t>
        </r>
      </text>
    </comment>
    <comment ref="E103" authorId="1" shapeId="0" xr:uid="{B82B92A9-1F12-4093-9304-A367B912D458}">
      <text>
        <r>
          <rPr>
            <sz val="10"/>
            <color indexed="81"/>
            <rFont val="Arial"/>
            <family val="2"/>
          </rPr>
          <t>podendo ser considerado a Rentabilidade do ativo do lucro liquido sobre as vendas no período  analisado, ou seja, quanto maior o índice melhor é.</t>
        </r>
      </text>
    </comment>
    <comment ref="C111" authorId="0" shapeId="0" xr:uid="{891268BB-BBC3-4A82-83BF-584FA3CD02C1}">
      <text>
        <r>
          <rPr>
            <b/>
            <sz val="9"/>
            <color indexed="81"/>
            <rFont val="Segoe UI"/>
            <family val="2"/>
          </rPr>
          <t xml:space="preserve">Custo e despesas estão juntos aqui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39" authorId="0" shapeId="0" xr:uid="{E83D8F7C-20BE-4C57-95E8-A34F0B0B17D9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 META MENSAL DIVIDIDO POR DIAS UTEIS TRABALHADOS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4" authorId="0" shapeId="0" xr:uid="{1F41291D-7469-448C-B7FD-D6E0076A350A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LISTE AS AÇÕES </t>
        </r>
      </text>
    </comment>
    <comment ref="B4" authorId="0" shapeId="0" xr:uid="{BD8A5933-19EB-4E24-A51B-E8B6BFC36E19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JUSTIFIQUE A NECESSIDADE DA EXECUÇÃO DA AÇÃO PROPOSTA </t>
        </r>
      </text>
    </comment>
    <comment ref="C4" authorId="0" shapeId="0" xr:uid="{CF1586A8-03AE-450A-A60E-DD0684239E91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DEFINE O RESPONSAVEL PELA AÇÃO PROPOSTA</t>
        </r>
      </text>
    </comment>
    <comment ref="D4" authorId="0" shapeId="0" xr:uid="{845969AE-2731-49DA-B2BC-EF70612EDCEE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DEFINA O LOCAL ONDE A AÇÃO SERÁ APLICADA</t>
        </r>
      </text>
    </comment>
    <comment ref="E4" authorId="0" shapeId="0" xr:uid="{B562718E-43A3-43E6-BE0F-2A70030FB2AD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PROPONHA PRAZOS NAS AÇOES, SEMPRE...</t>
        </r>
      </text>
    </comment>
    <comment ref="F4" authorId="0" shapeId="0" xr:uid="{48516BD1-7FCA-4D68-8936-05938D71BB54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CALCULE O INVESTIMENTO PARA MELHORIAS NA SUA EMPRESA</t>
        </r>
      </text>
    </comment>
    <comment ref="G4" authorId="0" shapeId="0" xr:uid="{F7BB3D21-05C8-4972-9939-81B42497B928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IDENTIFICAR OS PONTOS E PROPOR MELHORIAS, CONCIENTIZAÇÃO DA EQUIPE, REDUÇÃO DE CUSTOS, DESPESAS, COLABORADORES ETC...ADPTAÇÃO PARA O NOVO MODELO ORGANIZACIONAL E CONTROLE GERENCIAL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187326D3-860C-4BFD-BC86-9F7B27A97EDF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 METODOLOGIA (5W2H)
O QUE (WHAT)
QUEM (WHO)
ONDE (WHERE)
QUANDO (WHEN)
PORQUE (WHY)
COMO (HOW)
QUANTO (HOW MUCH)</t>
        </r>
      </text>
    </comment>
    <comment ref="A4" authorId="0" shapeId="0" xr:uid="{70160553-CDC7-45F6-96B6-FEACFE7797B8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LISTE AS AÇÕES </t>
        </r>
      </text>
    </comment>
    <comment ref="B4" authorId="0" shapeId="0" xr:uid="{B4D52650-5724-4DF9-ADAF-8611D4ABF937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JUSTIFIQUE A NECESSIDADE DA EXECUÇÃO DA AÇÃO PROPOSTA </t>
        </r>
      </text>
    </comment>
    <comment ref="C4" authorId="0" shapeId="0" xr:uid="{A2E55F2A-4AEF-4801-A97C-22E8CBB0413E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DEFINE O RESPONSAVEL PELA AÇÃO PROPOSTA</t>
        </r>
      </text>
    </comment>
    <comment ref="D4" authorId="0" shapeId="0" xr:uid="{B232DF28-C5E9-4BBF-8D30-67B4DCBF58BD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DEFINA O LOCAL ONDE A AÇÃO SERÁ APLICADA</t>
        </r>
      </text>
    </comment>
    <comment ref="E4" authorId="0" shapeId="0" xr:uid="{CA86C1C8-7A7B-4929-B271-6DCB1CAC020E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PROPOR PRAZOS NAS AÇOES, SEMPRE...</t>
        </r>
      </text>
    </comment>
    <comment ref="F4" authorId="0" shapeId="0" xr:uid="{CF8015F9-61A0-4C54-AF85-EFDAFFDA6D4E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CALCULE O INVESTIMENTO PARA MELHORIAS NA SUA EMPRESA</t>
        </r>
      </text>
    </comment>
    <comment ref="G4" authorId="0" shapeId="0" xr:uid="{3A480E24-9742-4833-9F9F-E71EA65A0E42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IDENTIFICAR OS PONTOS E PROPOR MELHORIAS, CONCIENTIZAÇÃO DA EQUIPE, REDUÇÃO DE CUSTOS, DESPESAS, COLABORADORES ETC...ADPTAÇÃO PARA O NOVO MODELO ORGANIZACIONAL E CONTROLE GERENCIAL</t>
        </r>
      </text>
    </comment>
  </commentList>
</comments>
</file>

<file path=xl/sharedStrings.xml><?xml version="1.0" encoding="utf-8"?>
<sst xmlns="http://schemas.openxmlformats.org/spreadsheetml/2006/main" count="323" uniqueCount="173">
  <si>
    <t>FGTS</t>
  </si>
  <si>
    <t>RESULTADO</t>
  </si>
  <si>
    <t>ABRIL</t>
  </si>
  <si>
    <t>MAIO</t>
  </si>
  <si>
    <t>JUNHO</t>
  </si>
  <si>
    <t>JULHO</t>
  </si>
  <si>
    <t>REFERENCIA</t>
  </si>
  <si>
    <t>Despesas Financeiras/banco</t>
  </si>
  <si>
    <t>RESULTADO OPERACIONAL</t>
  </si>
  <si>
    <t>Salários</t>
  </si>
  <si>
    <t>AGOSTO</t>
  </si>
  <si>
    <t>PREVISTO</t>
  </si>
  <si>
    <t>REALIZADO</t>
  </si>
  <si>
    <t>DIFERENÇA ENTRE PREVISTO E REALIZADO</t>
  </si>
  <si>
    <t>SETEMBRO</t>
  </si>
  <si>
    <t>OUTUBRO</t>
  </si>
  <si>
    <t>NOVEMBRO</t>
  </si>
  <si>
    <t>DEZEMBRO</t>
  </si>
  <si>
    <t>Combustivel</t>
  </si>
  <si>
    <t>JANEIRO</t>
  </si>
  <si>
    <t>FEVEREIRO</t>
  </si>
  <si>
    <t>MARÇO</t>
  </si>
  <si>
    <t>DATA</t>
  </si>
  <si>
    <t>META</t>
  </si>
  <si>
    <t>%</t>
  </si>
  <si>
    <t>Meta Mensal</t>
  </si>
  <si>
    <t>Média diária</t>
  </si>
  <si>
    <t>13º salario</t>
  </si>
  <si>
    <t>Juros Passivos/Bcos</t>
  </si>
  <si>
    <t>Rescisão</t>
  </si>
  <si>
    <t>Alvará</t>
  </si>
  <si>
    <t>Percentual Custo Fixo  %</t>
  </si>
  <si>
    <t>Receita Total</t>
  </si>
  <si>
    <t>Custo Fixo</t>
  </si>
  <si>
    <t>Honorários contabeis</t>
  </si>
  <si>
    <t>Lucro percentual %</t>
  </si>
  <si>
    <t>Férias</t>
  </si>
  <si>
    <t>Uniforme</t>
  </si>
  <si>
    <t>Exames adimissional funcs</t>
  </si>
  <si>
    <t>Material de Limpeza</t>
  </si>
  <si>
    <t xml:space="preserve">Energia </t>
  </si>
  <si>
    <t>Manutenção Prédio Instalação</t>
  </si>
  <si>
    <t xml:space="preserve">Lucro operacional Liquido </t>
  </si>
  <si>
    <t>Manut de maquinas e equip</t>
  </si>
  <si>
    <t>TOTAL DAS DEPESAS FIXO</t>
  </si>
  <si>
    <t>RESULTADO LIQUIDO OPERC</t>
  </si>
  <si>
    <t>Incentivo aos colaboradores a otimizar custos e despesas</t>
  </si>
  <si>
    <t>Fazer reuniões gerenciais para analise de resultado</t>
  </si>
  <si>
    <t>Serviço de Licença Software</t>
  </si>
  <si>
    <t xml:space="preserve">Material de expediente </t>
  </si>
  <si>
    <t>RESULTADO DA AÇÃO</t>
  </si>
  <si>
    <t xml:space="preserve">PLANEJAMENTO ESTRATEGICO FINANCEIRO E ANALISE GERENCIAL </t>
  </si>
  <si>
    <t>Marketing/mídia digital</t>
  </si>
  <si>
    <t xml:space="preserve">Total das receitas </t>
  </si>
  <si>
    <t xml:space="preserve">Impressos/Grafica </t>
  </si>
  <si>
    <t xml:space="preserve">Percentual em margem liquida em relação ao lucro liquido das vendas, </t>
  </si>
  <si>
    <t>5 W</t>
  </si>
  <si>
    <t>2 H</t>
  </si>
  <si>
    <t>TAREFAS (O QUE) WHAT</t>
  </si>
  <si>
    <t>PULBICO ALVO (POR QUE) WHO</t>
  </si>
  <si>
    <t>QUEM/WHERE</t>
  </si>
  <si>
    <t>ONDE/WHEN</t>
  </si>
  <si>
    <t>QUANDO/PRAZO/WHY</t>
  </si>
  <si>
    <t>QUANTO CUSTA A AÇÃO/HOW MUCH</t>
  </si>
  <si>
    <t xml:space="preserve">COMO/HOW </t>
  </si>
  <si>
    <t xml:space="preserve"> </t>
  </si>
  <si>
    <t xml:space="preserve">Material de uso e consumo </t>
  </si>
  <si>
    <t>MÉDIA VENDA MÊS</t>
  </si>
  <si>
    <t>Desp Financeira Cartão Credito</t>
  </si>
  <si>
    <t xml:space="preserve">Média em % das despesas fixa em relação a receita </t>
  </si>
  <si>
    <t>PLANO DE AÇÃO DE VENDAS</t>
  </si>
  <si>
    <t xml:space="preserve">PLANO DE AÇÃO ADM/FINANCEIRO </t>
  </si>
  <si>
    <t xml:space="preserve">Gratificação Funcionários </t>
  </si>
  <si>
    <t xml:space="preserve">Cortesia, Brindes a clientes </t>
  </si>
  <si>
    <t>Excelência no atendimento</t>
  </si>
  <si>
    <t>Média Lucro/mês</t>
  </si>
  <si>
    <t>DESPESAS OPERACIONAL FIXAS</t>
  </si>
  <si>
    <t xml:space="preserve">aluguel </t>
  </si>
  <si>
    <t>INSS/GPS parte do colaborador</t>
  </si>
  <si>
    <t xml:space="preserve">Alvará e Bombeiro </t>
  </si>
  <si>
    <t>Monitoriamento e Segurança</t>
  </si>
  <si>
    <t xml:space="preserve">Confraternização </t>
  </si>
  <si>
    <t>Internet</t>
  </si>
  <si>
    <t>Telefone</t>
  </si>
  <si>
    <t>ANO 2024</t>
  </si>
  <si>
    <t xml:space="preserve">    Analise 2024 - Ponto de Equilibrio é quando a receita paga todos os gastos da empresa</t>
  </si>
  <si>
    <t xml:space="preserve">METAS DE VENDAS MENSAL </t>
  </si>
  <si>
    <t>Receita de vendas serviços</t>
  </si>
  <si>
    <t xml:space="preserve">água mineral </t>
  </si>
  <si>
    <t xml:space="preserve">Brinde a clientes </t>
  </si>
  <si>
    <t>DAS Simples Nacional parc</t>
  </si>
  <si>
    <t xml:space="preserve">ISSQN Retido </t>
  </si>
  <si>
    <t xml:space="preserve">DARF DCTF WEB </t>
  </si>
  <si>
    <t>Marketing/mídia radio</t>
  </si>
  <si>
    <t xml:space="preserve">Marketing/mídia TV </t>
  </si>
  <si>
    <t xml:space="preserve">Feiras e exposições </t>
  </si>
  <si>
    <t>Gestor trafego digital</t>
  </si>
  <si>
    <t>Diarista escritório</t>
  </si>
  <si>
    <t>Manutenção veículo</t>
  </si>
  <si>
    <t xml:space="preserve">Despesas com viagens </t>
  </si>
  <si>
    <t xml:space="preserve">PREVISTO </t>
  </si>
  <si>
    <t xml:space="preserve">REALIZADO </t>
  </si>
  <si>
    <t xml:space="preserve">Certificado digital </t>
  </si>
  <si>
    <t xml:space="preserve">MEDIA DESPESA MÊS </t>
  </si>
  <si>
    <t xml:space="preserve">20% aumento mensal nas vendas de serviços </t>
  </si>
  <si>
    <t xml:space="preserve">Meta mensal </t>
  </si>
  <si>
    <t xml:space="preserve">Foco em oferecer serviços e produtos </t>
  </si>
  <si>
    <t>Financiamento/emprestimo bco parc</t>
  </si>
  <si>
    <t xml:space="preserve">Cursos e treinamentos </t>
  </si>
  <si>
    <t>Receita de mercadorias</t>
  </si>
  <si>
    <t>Comissões vendedor</t>
  </si>
  <si>
    <t xml:space="preserve"> meta mensal</t>
  </si>
  <si>
    <t xml:space="preserve">Consultoria </t>
  </si>
  <si>
    <t>ANO 2025</t>
  </si>
  <si>
    <t>Projeto SST</t>
  </si>
  <si>
    <t>Pró-labore Retirada Leandro</t>
  </si>
  <si>
    <t>Pró-labore Retirada Sergio</t>
  </si>
  <si>
    <t>CUSTOS VARIAVEIS</t>
  </si>
  <si>
    <t>Fornecedores diversos Estoque merc</t>
  </si>
  <si>
    <t>TOTAL CUSTOS VARIAVEIS</t>
  </si>
  <si>
    <t>Percentual em relação as compras de fornecedores c/ Faturamento total</t>
  </si>
  <si>
    <t>Estopas uso prestação serviço</t>
  </si>
  <si>
    <t xml:space="preserve">Fretes </t>
  </si>
  <si>
    <t>DARE - Estadual</t>
  </si>
  <si>
    <t xml:space="preserve">Parcelamento Simples </t>
  </si>
  <si>
    <t xml:space="preserve">Diarista </t>
  </si>
  <si>
    <t>Coleta Resíduos</t>
  </si>
  <si>
    <t xml:space="preserve">Engenheiro ambiental </t>
  </si>
  <si>
    <t xml:space="preserve">Exames admissional/demissional </t>
  </si>
  <si>
    <t>Pró-labore Retirada - Leandro</t>
  </si>
  <si>
    <t>Pró-labore Retirada - Sergio</t>
  </si>
  <si>
    <t xml:space="preserve">    Analise 2025 - Ponto de Equilibrio é quando a receita paga todos os gastos da empresa</t>
  </si>
  <si>
    <t xml:space="preserve">água </t>
  </si>
  <si>
    <t xml:space="preserve">DAS Simples Nacional </t>
  </si>
  <si>
    <t xml:space="preserve">lanches/refeições </t>
  </si>
  <si>
    <t>Desp Financeiras/bancos</t>
  </si>
  <si>
    <t>Manut de Informatica</t>
  </si>
  <si>
    <t>Seguro de vida - Colaboradores</t>
  </si>
  <si>
    <t xml:space="preserve">CDL Associação comercial </t>
  </si>
  <si>
    <t xml:space="preserve">Unimed Sócios </t>
  </si>
  <si>
    <t>Plano Odonto - Amil Dental</t>
  </si>
  <si>
    <t>Custo Variavel Fornecedor diversos</t>
  </si>
  <si>
    <t xml:space="preserve">Média em % de fornecedores em relação a receita </t>
  </si>
  <si>
    <t>Lucro Bruto</t>
  </si>
  <si>
    <t>Média Lucro ou Prejuízo/mês</t>
  </si>
  <si>
    <t xml:space="preserve">10% aumento mensal nas vendas de serviços </t>
  </si>
  <si>
    <t xml:space="preserve">Média por mês </t>
  </si>
  <si>
    <t xml:space="preserve">Comunicação interna </t>
  </si>
  <si>
    <t>Fretes - fora da NF de Fornec.</t>
  </si>
  <si>
    <t>receita de vendas peças e serv.</t>
  </si>
  <si>
    <t xml:space="preserve">Uniforme </t>
  </si>
  <si>
    <t xml:space="preserve">Vale alimentação funcionarios </t>
  </si>
  <si>
    <t>doação</t>
  </si>
  <si>
    <t xml:space="preserve">ferramental oficina </t>
  </si>
  <si>
    <t xml:space="preserve">Receita de peças </t>
  </si>
  <si>
    <t xml:space="preserve">aquisição imobilizados </t>
  </si>
  <si>
    <t>FINAN. Carro RSW1E87</t>
  </si>
  <si>
    <t>Finan. Carro RSV5E43</t>
  </si>
  <si>
    <t>juros FINAN RSV5E43</t>
  </si>
  <si>
    <t>IPVA txas diversas RSW1E87</t>
  </si>
  <si>
    <t>IPVA e taxas diversas RSV5E43</t>
  </si>
  <si>
    <t xml:space="preserve">retroativo </t>
  </si>
  <si>
    <t xml:space="preserve">fornecedor sem nota </t>
  </si>
  <si>
    <t xml:space="preserve">Fornec diversos com nota </t>
  </si>
  <si>
    <t>seguro carro RSV5E43</t>
  </si>
  <si>
    <t>mão de obra-romaneio</t>
  </si>
  <si>
    <t xml:space="preserve">peças e serv- romaneio </t>
  </si>
  <si>
    <t xml:space="preserve">venda peças-romaneio </t>
  </si>
  <si>
    <t xml:space="preserve">                                         JULHO</t>
  </si>
  <si>
    <t>Desp liq boletos/cartão</t>
  </si>
  <si>
    <t>custos -garantia peças e serv</t>
  </si>
  <si>
    <t xml:space="preserve">mensal </t>
  </si>
  <si>
    <t>Custo e  Despesas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</si>
</sst>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dd/mm"/>
    <numFmt numFmtId="166" formatCode="&quot;R$&quot;#,##0.00"/>
    <numFmt numFmtId="167" formatCode="&quot;R$&quot;\ #,##0.00"/>
    <numFmt numFmtId="168" formatCode="_(&quot;R$ &quot;* #,##0.00_);_(&quot;R$ &quot;* \(#,##0.00\);_(&quot;R$ &quot;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color rgb="FFFF0000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6"/>
      <color theme="1"/>
      <name val="Arial"/>
      <family val="2"/>
    </font>
    <font>
      <sz val="10"/>
      <color indexed="81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9"/>
      <color indexed="81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6">
    <xf numFmtId="0" fontId="0" fillId="0" borderId="0" xfId="0"/>
    <xf numFmtId="0" fontId="5" fillId="0" borderId="0" xfId="0" applyFont="1"/>
    <xf numFmtId="0" fontId="4" fillId="0" borderId="1" xfId="0" applyFont="1" applyBorder="1"/>
    <xf numFmtId="0" fontId="5" fillId="0" borderId="1" xfId="0" applyFont="1" applyBorder="1"/>
    <xf numFmtId="44" fontId="5" fillId="0" borderId="1" xfId="1" applyFont="1" applyBorder="1"/>
    <xf numFmtId="0" fontId="4" fillId="3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44" fontId="7" fillId="2" borderId="1" xfId="1" applyFont="1" applyFill="1" applyBorder="1"/>
    <xf numFmtId="44" fontId="5" fillId="6" borderId="1" xfId="1" applyFont="1" applyFill="1" applyBorder="1"/>
    <xf numFmtId="44" fontId="4" fillId="5" borderId="1" xfId="1" applyFont="1" applyFill="1" applyBorder="1"/>
    <xf numFmtId="0" fontId="4" fillId="8" borderId="1" xfId="0" applyFont="1" applyFill="1" applyBorder="1"/>
    <xf numFmtId="0" fontId="5" fillId="8" borderId="1" xfId="0" applyFont="1" applyFill="1" applyBorder="1"/>
    <xf numFmtId="44" fontId="5" fillId="4" borderId="1" xfId="1" applyFont="1" applyFill="1" applyBorder="1"/>
    <xf numFmtId="0" fontId="8" fillId="0" borderId="1" xfId="0" applyFont="1" applyBorder="1"/>
    <xf numFmtId="4" fontId="5" fillId="0" borderId="0" xfId="2" applyNumberFormat="1" applyFont="1"/>
    <xf numFmtId="0" fontId="9" fillId="0" borderId="1" xfId="0" applyFont="1" applyBorder="1" applyAlignment="1">
      <alignment vertical="center" wrapText="1"/>
    </xf>
    <xf numFmtId="0" fontId="8" fillId="6" borderId="1" xfId="0" applyFont="1" applyFill="1" applyBorder="1"/>
    <xf numFmtId="0" fontId="8" fillId="4" borderId="1" xfId="0" applyFont="1" applyFill="1" applyBorder="1"/>
    <xf numFmtId="0" fontId="11" fillId="0" borderId="1" xfId="0" applyFont="1" applyBorder="1" applyAlignment="1">
      <alignment horizontal="center" vertical="distributed"/>
    </xf>
    <xf numFmtId="0" fontId="12" fillId="0" borderId="1" xfId="0" applyFont="1" applyBorder="1"/>
    <xf numFmtId="0" fontId="6" fillId="9" borderId="1" xfId="0" applyFont="1" applyFill="1" applyBorder="1"/>
    <xf numFmtId="0" fontId="12" fillId="9" borderId="1" xfId="0" applyFont="1" applyFill="1" applyBorder="1"/>
    <xf numFmtId="44" fontId="13" fillId="2" borderId="1" xfId="1" applyFont="1" applyFill="1" applyBorder="1"/>
    <xf numFmtId="0" fontId="14" fillId="6" borderId="1" xfId="0" applyFont="1" applyFill="1" applyBorder="1"/>
    <xf numFmtId="0" fontId="4" fillId="0" borderId="0" xfId="0" applyFont="1"/>
    <xf numFmtId="44" fontId="5" fillId="0" borderId="0" xfId="1" applyFont="1"/>
    <xf numFmtId="0" fontId="15" fillId="5" borderId="1" xfId="0" applyFont="1" applyFill="1" applyBorder="1"/>
    <xf numFmtId="0" fontId="15" fillId="2" borderId="1" xfId="0" applyFont="1" applyFill="1" applyBorder="1"/>
    <xf numFmtId="0" fontId="6" fillId="10" borderId="2" xfId="0" applyFont="1" applyFill="1" applyBorder="1"/>
    <xf numFmtId="0" fontId="11" fillId="0" borderId="1" xfId="0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4" borderId="0" xfId="0" applyFill="1"/>
    <xf numFmtId="44" fontId="4" fillId="0" borderId="0" xfId="1" applyFont="1"/>
    <xf numFmtId="167" fontId="5" fillId="0" borderId="0" xfId="0" applyNumberFormat="1" applyFont="1"/>
    <xf numFmtId="167" fontId="5" fillId="0" borderId="1" xfId="0" applyNumberFormat="1" applyFont="1" applyBorder="1"/>
    <xf numFmtId="167" fontId="5" fillId="6" borderId="1" xfId="1" applyNumberFormat="1" applyFont="1" applyFill="1" applyBorder="1"/>
    <xf numFmtId="167" fontId="5" fillId="4" borderId="1" xfId="1" applyNumberFormat="1" applyFont="1" applyFill="1" applyBorder="1"/>
    <xf numFmtId="167" fontId="5" fillId="0" borderId="1" xfId="1" applyNumberFormat="1" applyFont="1" applyBorder="1"/>
    <xf numFmtId="167" fontId="4" fillId="5" borderId="1" xfId="1" applyNumberFormat="1" applyFont="1" applyFill="1" applyBorder="1"/>
    <xf numFmtId="167" fontId="5" fillId="8" borderId="1" xfId="0" applyNumberFormat="1" applyFont="1" applyFill="1" applyBorder="1"/>
    <xf numFmtId="167" fontId="5" fillId="0" borderId="0" xfId="2" applyNumberFormat="1" applyFont="1"/>
    <xf numFmtId="2" fontId="12" fillId="0" borderId="1" xfId="0" applyNumberFormat="1" applyFont="1" applyBorder="1"/>
    <xf numFmtId="0" fontId="6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distributed"/>
    </xf>
    <xf numFmtId="0" fontId="6" fillId="7" borderId="8" xfId="0" applyFont="1" applyFill="1" applyBorder="1" applyAlignment="1">
      <alignment horizontal="center"/>
    </xf>
    <xf numFmtId="0" fontId="6" fillId="7" borderId="8" xfId="0" applyFont="1" applyFill="1" applyBorder="1" applyAlignment="1">
      <alignment horizontal="center" vertical="distributed"/>
    </xf>
    <xf numFmtId="168" fontId="19" fillId="6" borderId="0" xfId="0" applyNumberFormat="1" applyFont="1" applyFill="1" applyAlignment="1">
      <alignment horizontal="center"/>
    </xf>
    <xf numFmtId="44" fontId="5" fillId="6" borderId="3" xfId="1" applyFont="1" applyFill="1" applyBorder="1"/>
    <xf numFmtId="44" fontId="5" fillId="6" borderId="4" xfId="1" applyFont="1" applyFill="1" applyBorder="1"/>
    <xf numFmtId="168" fontId="19" fillId="6" borderId="1" xfId="0" applyNumberFormat="1" applyFont="1" applyFill="1" applyBorder="1" applyAlignment="1">
      <alignment horizontal="center"/>
    </xf>
    <xf numFmtId="167" fontId="5" fillId="6" borderId="4" xfId="1" applyNumberFormat="1" applyFont="1" applyFill="1" applyBorder="1"/>
    <xf numFmtId="4" fontId="5" fillId="12" borderId="0" xfId="2" applyNumberFormat="1" applyFont="1" applyFill="1"/>
    <xf numFmtId="4" fontId="5" fillId="4" borderId="0" xfId="2" applyNumberFormat="1" applyFont="1" applyFill="1"/>
    <xf numFmtId="4" fontId="5" fillId="13" borderId="0" xfId="2" applyNumberFormat="1" applyFont="1" applyFill="1"/>
    <xf numFmtId="0" fontId="12" fillId="4" borderId="1" xfId="0" applyFont="1" applyFill="1" applyBorder="1"/>
    <xf numFmtId="44" fontId="5" fillId="0" borderId="11" xfId="0" applyNumberFormat="1" applyFont="1" applyBorder="1"/>
    <xf numFmtId="0" fontId="5" fillId="0" borderId="12" xfId="0" applyFont="1" applyBorder="1"/>
    <xf numFmtId="0" fontId="5" fillId="0" borderId="13" xfId="0" applyFont="1" applyBorder="1"/>
    <xf numFmtId="44" fontId="5" fillId="0" borderId="20" xfId="1" applyFont="1" applyBorder="1"/>
    <xf numFmtId="0" fontId="5" fillId="4" borderId="0" xfId="0" applyFont="1" applyFill="1"/>
    <xf numFmtId="44" fontId="4" fillId="14" borderId="14" xfId="0" applyNumberFormat="1" applyFont="1" applyFill="1" applyBorder="1"/>
    <xf numFmtId="0" fontId="4" fillId="14" borderId="0" xfId="0" applyFont="1" applyFill="1"/>
    <xf numFmtId="0" fontId="4" fillId="14" borderId="15" xfId="0" applyFont="1" applyFill="1" applyBorder="1"/>
    <xf numFmtId="165" fontId="6" fillId="0" borderId="0" xfId="0" applyNumberFormat="1" applyFont="1" applyAlignment="1">
      <alignment horizontal="center"/>
    </xf>
    <xf numFmtId="10" fontId="12" fillId="0" borderId="0" xfId="0" applyNumberFormat="1" applyFont="1" applyAlignment="1">
      <alignment horizontal="center"/>
    </xf>
    <xf numFmtId="0" fontId="12" fillId="0" borderId="0" xfId="0" applyFont="1"/>
    <xf numFmtId="0" fontId="6" fillId="4" borderId="0" xfId="0" applyFont="1" applyFill="1" applyAlignment="1">
      <alignment horizontal="center"/>
    </xf>
    <xf numFmtId="165" fontId="6" fillId="0" borderId="6" xfId="0" applyNumberFormat="1" applyFont="1" applyBorder="1" applyAlignment="1">
      <alignment horizontal="center" shrinkToFit="1"/>
    </xf>
    <xf numFmtId="166" fontId="6" fillId="0" borderId="7" xfId="0" applyNumberFormat="1" applyFont="1" applyBorder="1" applyAlignment="1">
      <alignment horizontal="center" shrinkToFit="1"/>
    </xf>
    <xf numFmtId="2" fontId="6" fillId="0" borderId="7" xfId="0" applyNumberFormat="1" applyFont="1" applyBorder="1" applyAlignment="1">
      <alignment horizontal="center" shrinkToFit="1"/>
    </xf>
    <xf numFmtId="10" fontId="6" fillId="0" borderId="1" xfId="0" applyNumberFormat="1" applyFont="1" applyBorder="1" applyAlignment="1">
      <alignment horizontal="center" shrinkToFit="1"/>
    </xf>
    <xf numFmtId="10" fontId="6" fillId="0" borderId="0" xfId="0" applyNumberFormat="1" applyFont="1" applyAlignment="1">
      <alignment horizontal="center" shrinkToFit="1"/>
    </xf>
    <xf numFmtId="165" fontId="6" fillId="0" borderId="9" xfId="0" applyNumberFormat="1" applyFont="1" applyBorder="1" applyAlignment="1">
      <alignment horizontal="center" shrinkToFit="1"/>
    </xf>
    <xf numFmtId="10" fontId="6" fillId="0" borderId="7" xfId="0" applyNumberFormat="1" applyFont="1" applyBorder="1" applyAlignment="1">
      <alignment horizontal="center" shrinkToFit="1"/>
    </xf>
    <xf numFmtId="165" fontId="6" fillId="0" borderId="8" xfId="0" applyNumberFormat="1" applyFont="1" applyBorder="1" applyAlignment="1">
      <alignment horizontal="center"/>
    </xf>
    <xf numFmtId="44" fontId="12" fillId="0" borderId="3" xfId="1" applyFont="1" applyBorder="1" applyAlignment="1">
      <alignment horizontal="center"/>
    </xf>
    <xf numFmtId="167" fontId="12" fillId="4" borderId="8" xfId="1" applyNumberFormat="1" applyFont="1" applyFill="1" applyBorder="1" applyAlignment="1" applyProtection="1">
      <alignment horizontal="center"/>
      <protection locked="0"/>
    </xf>
    <xf numFmtId="10" fontId="12" fillId="0" borderId="1" xfId="0" applyNumberFormat="1" applyFont="1" applyBorder="1" applyAlignment="1">
      <alignment horizontal="center"/>
    </xf>
    <xf numFmtId="165" fontId="6" fillId="0" borderId="10" xfId="0" applyNumberFormat="1" applyFont="1" applyBorder="1" applyAlignment="1">
      <alignment horizontal="center"/>
    </xf>
    <xf numFmtId="10" fontId="12" fillId="0" borderId="8" xfId="0" applyNumberFormat="1" applyFont="1" applyBorder="1" applyAlignment="1">
      <alignment horizontal="center"/>
    </xf>
    <xf numFmtId="167" fontId="20" fillId="4" borderId="8" xfId="1" applyNumberFormat="1" applyFont="1" applyFill="1" applyBorder="1" applyAlignment="1" applyProtection="1">
      <alignment horizontal="center"/>
      <protection locked="0"/>
    </xf>
    <xf numFmtId="167" fontId="12" fillId="4" borderId="1" xfId="0" applyNumberFormat="1" applyFont="1" applyFill="1" applyBorder="1" applyAlignment="1" applyProtection="1">
      <alignment horizontal="center"/>
      <protection locked="0"/>
    </xf>
    <xf numFmtId="167" fontId="12" fillId="4" borderId="1" xfId="1" applyNumberFormat="1" applyFont="1" applyFill="1" applyBorder="1" applyAlignment="1" applyProtection="1">
      <alignment horizontal="center"/>
      <protection locked="0"/>
    </xf>
    <xf numFmtId="44" fontId="12" fillId="4" borderId="1" xfId="1" applyFont="1" applyFill="1" applyBorder="1" applyAlignment="1" applyProtection="1">
      <alignment horizontal="center"/>
      <protection locked="0"/>
    </xf>
    <xf numFmtId="2" fontId="12" fillId="4" borderId="1" xfId="0" applyNumberFormat="1" applyFont="1" applyFill="1" applyBorder="1" applyAlignment="1" applyProtection="1">
      <alignment horizontal="center"/>
      <protection locked="0"/>
    </xf>
    <xf numFmtId="165" fontId="6" fillId="0" borderId="1" xfId="0" applyNumberFormat="1" applyFont="1" applyBorder="1" applyAlignment="1">
      <alignment horizontal="center"/>
    </xf>
    <xf numFmtId="44" fontId="6" fillId="4" borderId="1" xfId="1" applyFont="1" applyFill="1" applyBorder="1" applyAlignment="1">
      <alignment horizontal="center"/>
    </xf>
    <xf numFmtId="44" fontId="6" fillId="0" borderId="1" xfId="1" applyFont="1" applyBorder="1" applyAlignment="1">
      <alignment horizontal="center"/>
    </xf>
    <xf numFmtId="165" fontId="6" fillId="0" borderId="4" xfId="0" applyNumberFormat="1" applyFont="1" applyBorder="1" applyAlignment="1">
      <alignment horizontal="center"/>
    </xf>
    <xf numFmtId="166" fontId="12" fillId="0" borderId="0" xfId="0" applyNumberFormat="1" applyFont="1"/>
    <xf numFmtId="2" fontId="12" fillId="0" borderId="0" xfId="0" applyNumberFormat="1" applyFont="1"/>
    <xf numFmtId="166" fontId="6" fillId="3" borderId="0" xfId="0" applyNumberFormat="1" applyFont="1" applyFill="1"/>
    <xf numFmtId="10" fontId="12" fillId="4" borderId="0" xfId="0" applyNumberFormat="1" applyFont="1" applyFill="1" applyAlignment="1">
      <alignment horizontal="center"/>
    </xf>
    <xf numFmtId="44" fontId="12" fillId="0" borderId="1" xfId="1" applyFont="1" applyBorder="1"/>
    <xf numFmtId="44" fontId="12" fillId="0" borderId="0" xfId="1" applyFont="1" applyBorder="1" applyAlignment="1">
      <alignment horizontal="center"/>
    </xf>
    <xf numFmtId="166" fontId="12" fillId="0" borderId="1" xfId="0" applyNumberFormat="1" applyFont="1" applyBorder="1"/>
    <xf numFmtId="166" fontId="12" fillId="0" borderId="1" xfId="1" applyNumberFormat="1" applyFont="1" applyBorder="1" applyAlignment="1">
      <alignment horizontal="center"/>
    </xf>
    <xf numFmtId="166" fontId="6" fillId="5" borderId="11" xfId="0" applyNumberFormat="1" applyFont="1" applyFill="1" applyBorder="1"/>
    <xf numFmtId="2" fontId="6" fillId="5" borderId="12" xfId="0" applyNumberFormat="1" applyFont="1" applyFill="1" applyBorder="1"/>
    <xf numFmtId="10" fontId="6" fillId="5" borderId="12" xfId="0" applyNumberFormat="1" applyFont="1" applyFill="1" applyBorder="1" applyAlignment="1">
      <alignment horizontal="center"/>
    </xf>
    <xf numFmtId="10" fontId="12" fillId="5" borderId="12" xfId="0" applyNumberFormat="1" applyFont="1" applyFill="1" applyBorder="1" applyAlignment="1">
      <alignment horizontal="center"/>
    </xf>
    <xf numFmtId="165" fontId="6" fillId="5" borderId="13" xfId="0" applyNumberFormat="1" applyFont="1" applyFill="1" applyBorder="1" applyAlignment="1">
      <alignment horizontal="center"/>
    </xf>
    <xf numFmtId="166" fontId="6" fillId="5" borderId="14" xfId="0" applyNumberFormat="1" applyFont="1" applyFill="1" applyBorder="1"/>
    <xf numFmtId="2" fontId="6" fillId="5" borderId="0" xfId="0" applyNumberFormat="1" applyFont="1" applyFill="1"/>
    <xf numFmtId="10" fontId="6" fillId="5" borderId="0" xfId="0" applyNumberFormat="1" applyFont="1" applyFill="1" applyAlignment="1">
      <alignment horizontal="center"/>
    </xf>
    <xf numFmtId="10" fontId="12" fillId="5" borderId="0" xfId="0" applyNumberFormat="1" applyFont="1" applyFill="1" applyAlignment="1">
      <alignment horizontal="center"/>
    </xf>
    <xf numFmtId="165" fontId="6" fillId="5" borderId="15" xfId="0" applyNumberFormat="1" applyFont="1" applyFill="1" applyBorder="1" applyAlignment="1">
      <alignment horizontal="center"/>
    </xf>
    <xf numFmtId="166" fontId="6" fillId="5" borderId="16" xfId="0" applyNumberFormat="1" applyFont="1" applyFill="1" applyBorder="1"/>
    <xf numFmtId="2" fontId="6" fillId="5" borderId="17" xfId="0" applyNumberFormat="1" applyFont="1" applyFill="1" applyBorder="1"/>
    <xf numFmtId="10" fontId="6" fillId="5" borderId="17" xfId="0" applyNumberFormat="1" applyFont="1" applyFill="1" applyBorder="1" applyAlignment="1">
      <alignment horizontal="center"/>
    </xf>
    <xf numFmtId="10" fontId="12" fillId="5" borderId="17" xfId="0" applyNumberFormat="1" applyFont="1" applyFill="1" applyBorder="1" applyAlignment="1">
      <alignment horizontal="center"/>
    </xf>
    <xf numFmtId="165" fontId="6" fillId="5" borderId="18" xfId="0" applyNumberFormat="1" applyFont="1" applyFill="1" applyBorder="1" applyAlignment="1">
      <alignment horizontal="center"/>
    </xf>
    <xf numFmtId="166" fontId="6" fillId="0" borderId="0" xfId="0" applyNumberFormat="1" applyFont="1"/>
    <xf numFmtId="2" fontId="6" fillId="0" borderId="0" xfId="0" applyNumberFormat="1" applyFont="1"/>
    <xf numFmtId="0" fontId="5" fillId="4" borderId="1" xfId="0" applyFont="1" applyFill="1" applyBorder="1"/>
    <xf numFmtId="17" fontId="11" fillId="0" borderId="1" xfId="0" applyNumberFormat="1" applyFont="1" applyBorder="1" applyAlignment="1">
      <alignment horizontal="center" vertical="distributed"/>
    </xf>
    <xf numFmtId="10" fontId="6" fillId="3" borderId="0" xfId="0" applyNumberFormat="1" applyFont="1" applyFill="1" applyAlignment="1">
      <alignment horizontal="center"/>
    </xf>
    <xf numFmtId="44" fontId="12" fillId="4" borderId="1" xfId="1" applyFont="1" applyFill="1" applyBorder="1"/>
    <xf numFmtId="44" fontId="6" fillId="9" borderId="1" xfId="0" applyNumberFormat="1" applyFont="1" applyFill="1" applyBorder="1"/>
    <xf numFmtId="0" fontId="5" fillId="0" borderId="1" xfId="0" applyFont="1" applyBorder="1" applyAlignment="1">
      <alignment horizontal="center" vertical="distributed"/>
    </xf>
    <xf numFmtId="0" fontId="6" fillId="10" borderId="1" xfId="0" applyFont="1" applyFill="1" applyBorder="1"/>
    <xf numFmtId="0" fontId="6" fillId="10" borderId="1" xfId="0" applyFont="1" applyFill="1" applyBorder="1" applyAlignment="1">
      <alignment horizontal="center"/>
    </xf>
    <xf numFmtId="168" fontId="19" fillId="6" borderId="20" xfId="0" applyNumberFormat="1" applyFont="1" applyFill="1" applyBorder="1" applyAlignment="1">
      <alignment horizontal="center"/>
    </xf>
    <xf numFmtId="44" fontId="12" fillId="0" borderId="1" xfId="0" applyNumberFormat="1" applyFont="1" applyBorder="1"/>
    <xf numFmtId="44" fontId="12" fillId="4" borderId="1" xfId="0" applyNumberFormat="1" applyFont="1" applyFill="1" applyBorder="1"/>
    <xf numFmtId="9" fontId="6" fillId="9" borderId="1" xfId="2" applyFont="1" applyFill="1" applyBorder="1"/>
    <xf numFmtId="9" fontId="6" fillId="4" borderId="1" xfId="2" applyFont="1" applyFill="1" applyBorder="1"/>
    <xf numFmtId="0" fontId="5" fillId="0" borderId="15" xfId="0" applyFont="1" applyBorder="1"/>
    <xf numFmtId="44" fontId="5" fillId="0" borderId="21" xfId="0" applyNumberFormat="1" applyFont="1" applyBorder="1"/>
    <xf numFmtId="0" fontId="5" fillId="0" borderId="22" xfId="0" applyFont="1" applyBorder="1"/>
    <xf numFmtId="0" fontId="5" fillId="0" borderId="23" xfId="0" applyFont="1" applyBorder="1"/>
    <xf numFmtId="44" fontId="5" fillId="0" borderId="19" xfId="0" applyNumberFormat="1" applyFont="1" applyBorder="1"/>
    <xf numFmtId="0" fontId="5" fillId="0" borderId="24" xfId="0" applyFont="1" applyBorder="1"/>
    <xf numFmtId="44" fontId="5" fillId="0" borderId="14" xfId="1" applyFont="1" applyBorder="1"/>
    <xf numFmtId="44" fontId="5" fillId="0" borderId="0" xfId="1" applyFont="1" applyBorder="1"/>
    <xf numFmtId="0" fontId="4" fillId="3" borderId="0" xfId="0" applyFont="1" applyFill="1"/>
    <xf numFmtId="168" fontId="23" fillId="4" borderId="1" xfId="0" applyNumberFormat="1" applyFont="1" applyFill="1" applyBorder="1" applyAlignment="1">
      <alignment horizontal="center"/>
    </xf>
    <xf numFmtId="44" fontId="6" fillId="4" borderId="1" xfId="0" applyNumberFormat="1" applyFont="1" applyFill="1" applyBorder="1"/>
    <xf numFmtId="44" fontId="24" fillId="4" borderId="1" xfId="0" applyNumberFormat="1" applyFont="1" applyFill="1" applyBorder="1"/>
    <xf numFmtId="14" fontId="5" fillId="0" borderId="1" xfId="0" applyNumberFormat="1" applyFont="1" applyBorder="1" applyAlignment="1">
      <alignment horizontal="center" vertical="distributed"/>
    </xf>
    <xf numFmtId="0" fontId="5" fillId="0" borderId="1" xfId="0" applyFont="1" applyBorder="1" applyAlignment="1">
      <alignment horizontal="center" vertical="distributed" wrapText="1"/>
    </xf>
    <xf numFmtId="16" fontId="5" fillId="0" borderId="1" xfId="0" applyNumberFormat="1" applyFont="1" applyBorder="1" applyAlignment="1">
      <alignment horizontal="center" vertical="distributed"/>
    </xf>
    <xf numFmtId="44" fontId="5" fillId="0" borderId="1" xfId="1" applyFont="1" applyBorder="1" applyAlignment="1">
      <alignment vertical="distributed"/>
    </xf>
    <xf numFmtId="17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distributed"/>
    </xf>
    <xf numFmtId="0" fontId="14" fillId="4" borderId="1" xfId="0" applyFont="1" applyFill="1" applyBorder="1"/>
    <xf numFmtId="0" fontId="4" fillId="4" borderId="0" xfId="0" applyFont="1" applyFill="1"/>
    <xf numFmtId="0" fontId="4" fillId="7" borderId="1" xfId="0" applyFont="1" applyFill="1" applyBorder="1"/>
    <xf numFmtId="44" fontId="5" fillId="7" borderId="1" xfId="1" applyFont="1" applyFill="1" applyBorder="1"/>
    <xf numFmtId="167" fontId="5" fillId="7" borderId="1" xfId="1" applyNumberFormat="1" applyFont="1" applyFill="1" applyBorder="1"/>
    <xf numFmtId="0" fontId="4" fillId="5" borderId="1" xfId="0" applyFont="1" applyFill="1" applyBorder="1"/>
    <xf numFmtId="0" fontId="12" fillId="4" borderId="1" xfId="0" applyFont="1" applyFill="1" applyBorder="1" applyAlignment="1">
      <alignment vertical="distributed"/>
    </xf>
    <xf numFmtId="9" fontId="4" fillId="4" borderId="1" xfId="2" applyFont="1" applyFill="1" applyBorder="1"/>
    <xf numFmtId="8" fontId="5" fillId="0" borderId="1" xfId="1" applyNumberFormat="1" applyFont="1" applyBorder="1"/>
    <xf numFmtId="8" fontId="5" fillId="6" borderId="3" xfId="1" applyNumberFormat="1" applyFont="1" applyFill="1" applyBorder="1"/>
    <xf numFmtId="8" fontId="12" fillId="6" borderId="3" xfId="1" applyNumberFormat="1" applyFont="1" applyFill="1" applyBorder="1"/>
    <xf numFmtId="8" fontId="4" fillId="6" borderId="1" xfId="1" applyNumberFormat="1" applyFont="1" applyFill="1" applyBorder="1"/>
    <xf numFmtId="8" fontId="13" fillId="2" borderId="1" xfId="1" applyNumberFormat="1" applyFont="1" applyFill="1" applyBorder="1"/>
    <xf numFmtId="8" fontId="7" fillId="2" borderId="1" xfId="1" applyNumberFormat="1" applyFont="1" applyFill="1" applyBorder="1"/>
    <xf numFmtId="164" fontId="12" fillId="0" borderId="1" xfId="0" applyNumberFormat="1" applyFont="1" applyBorder="1"/>
    <xf numFmtId="164" fontId="6" fillId="0" borderId="1" xfId="0" applyNumberFormat="1" applyFont="1" applyBorder="1"/>
    <xf numFmtId="44" fontId="4" fillId="4" borderId="1" xfId="1" applyFont="1" applyFill="1" applyBorder="1"/>
    <xf numFmtId="0" fontId="25" fillId="4" borderId="0" xfId="0" applyFont="1" applyFill="1"/>
    <xf numFmtId="44" fontId="4" fillId="3" borderId="19" xfId="0" applyNumberFormat="1" applyFont="1" applyFill="1" applyBorder="1"/>
    <xf numFmtId="8" fontId="12" fillId="6" borderId="1" xfId="1" applyNumberFormat="1" applyFont="1" applyFill="1" applyBorder="1"/>
    <xf numFmtId="168" fontId="4" fillId="6" borderId="1" xfId="1" applyNumberFormat="1" applyFont="1" applyFill="1" applyBorder="1"/>
    <xf numFmtId="0" fontId="5" fillId="0" borderId="5" xfId="0" applyFont="1" applyBorder="1"/>
    <xf numFmtId="8" fontId="5" fillId="6" borderId="1" xfId="1" applyNumberFormat="1" applyFont="1" applyFill="1" applyBorder="1"/>
    <xf numFmtId="4" fontId="25" fillId="7" borderId="1" xfId="2" applyNumberFormat="1" applyFont="1" applyFill="1" applyBorder="1"/>
    <xf numFmtId="8" fontId="4" fillId="2" borderId="1" xfId="1" applyNumberFormat="1" applyFont="1" applyFill="1" applyBorder="1"/>
    <xf numFmtId="44" fontId="4" fillId="3" borderId="0" xfId="1" applyFont="1" applyFill="1" applyBorder="1"/>
    <xf numFmtId="44" fontId="4" fillId="0" borderId="1" xfId="1" applyFont="1" applyBorder="1" applyAlignment="1">
      <alignment horizontal="center" vertical="center"/>
    </xf>
    <xf numFmtId="0" fontId="10" fillId="7" borderId="19" xfId="0" applyFont="1" applyFill="1" applyBorder="1" applyAlignment="1">
      <alignment horizontal="center"/>
    </xf>
    <xf numFmtId="0" fontId="10" fillId="7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distributed"/>
    </xf>
    <xf numFmtId="167" fontId="16" fillId="3" borderId="1" xfId="0" applyNumberFormat="1" applyFont="1" applyFill="1" applyBorder="1" applyAlignment="1">
      <alignment horizontal="center" vertical="distributed"/>
    </xf>
    <xf numFmtId="17" fontId="4" fillId="3" borderId="5" xfId="0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166" fontId="14" fillId="3" borderId="0" xfId="0" applyNumberFormat="1" applyFont="1" applyFill="1" applyAlignment="1">
      <alignment horizontal="center"/>
    </xf>
    <xf numFmtId="0" fontId="14" fillId="7" borderId="0" xfId="0" applyFont="1" applyFill="1" applyAlignment="1">
      <alignment horizontal="center"/>
    </xf>
    <xf numFmtId="0" fontId="10" fillId="9" borderId="11" xfId="0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0" fontId="10" fillId="9" borderId="16" xfId="0" applyFont="1" applyFill="1" applyBorder="1" applyAlignment="1">
      <alignment horizontal="center" vertical="center"/>
    </xf>
    <xf numFmtId="0" fontId="10" fillId="9" borderId="17" xfId="0" applyFont="1" applyFill="1" applyBorder="1" applyAlignment="1">
      <alignment horizontal="center" vertical="center"/>
    </xf>
    <xf numFmtId="0" fontId="10" fillId="9" borderId="18" xfId="0" applyFont="1" applyFill="1" applyBorder="1" applyAlignment="1">
      <alignment horizontal="center" vertical="center"/>
    </xf>
    <xf numFmtId="0" fontId="10" fillId="11" borderId="11" xfId="0" applyFont="1" applyFill="1" applyBorder="1" applyAlignment="1">
      <alignment horizontal="center" vertical="center"/>
    </xf>
    <xf numFmtId="0" fontId="10" fillId="11" borderId="13" xfId="0" applyFont="1" applyFill="1" applyBorder="1" applyAlignment="1">
      <alignment horizontal="center" vertical="center"/>
    </xf>
    <xf numFmtId="0" fontId="10" fillId="11" borderId="16" xfId="0" applyFont="1" applyFill="1" applyBorder="1" applyAlignment="1">
      <alignment horizontal="center" vertical="center"/>
    </xf>
    <xf numFmtId="0" fontId="10" fillId="11" borderId="18" xfId="0" applyFont="1" applyFill="1" applyBorder="1" applyAlignment="1">
      <alignment horizontal="center" vertical="center"/>
    </xf>
    <xf numFmtId="0" fontId="17" fillId="10" borderId="0" xfId="0" applyFont="1" applyFill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6"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73DE99-8E46-42A8-950D-22FD977D728C}">
  <we:reference id="wa200005271" version="2.5.5.0" store="pt-B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9377-83C0-457E-8D4A-6DED9644E8A5}">
  <dimension ref="A2:XFD93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85" sqref="B85"/>
    </sheetView>
  </sheetViews>
  <sheetFormatPr defaultColWidth="9.140625" defaultRowHeight="14.25" x14ac:dyDescent="0.2"/>
  <cols>
    <col min="1" max="1" width="33.85546875" style="1" customWidth="1"/>
    <col min="2" max="2" width="17.85546875" style="1" customWidth="1"/>
    <col min="3" max="3" width="16.140625" style="1" customWidth="1"/>
    <col min="4" max="4" width="16.28515625" style="1" customWidth="1"/>
    <col min="5" max="5" width="15.7109375" style="1" customWidth="1"/>
    <col min="6" max="6" width="16.28515625" style="1" customWidth="1"/>
    <col min="7" max="7" width="9.42578125" style="1" customWidth="1"/>
    <col min="8" max="8" width="16" style="1" customWidth="1"/>
    <col min="9" max="9" width="16.140625" style="1" bestFit="1" customWidth="1"/>
    <col min="10" max="10" width="8.42578125" style="1" customWidth="1"/>
    <col min="11" max="12" width="16.140625" style="1" bestFit="1" customWidth="1"/>
    <col min="13" max="13" width="10.7109375" style="1" customWidth="1"/>
    <col min="14" max="15" width="16.140625" style="1" bestFit="1" customWidth="1"/>
    <col min="16" max="16" width="10.42578125" style="1" customWidth="1"/>
    <col min="17" max="18" width="16.140625" style="1" bestFit="1" customWidth="1"/>
    <col min="19" max="19" width="10.42578125" style="1" customWidth="1"/>
    <col min="20" max="21" width="16.140625" style="1" bestFit="1" customWidth="1"/>
    <col min="22" max="22" width="9" style="34" customWidth="1"/>
    <col min="23" max="24" width="16.140625" style="1" bestFit="1" customWidth="1"/>
    <col min="25" max="25" width="10" style="1" customWidth="1"/>
    <col min="26" max="27" width="16.140625" style="1" bestFit="1" customWidth="1"/>
    <col min="28" max="28" width="9.5703125" style="1" customWidth="1"/>
    <col min="29" max="30" width="16.140625" style="1" bestFit="1" customWidth="1"/>
    <col min="31" max="31" width="10.85546875" style="1" customWidth="1"/>
    <col min="32" max="32" width="16.140625" style="1" bestFit="1" customWidth="1"/>
    <col min="33" max="33" width="16.7109375" style="1" customWidth="1"/>
    <col min="34" max="34" width="9.28515625" style="1" customWidth="1"/>
    <col min="35" max="35" width="16.140625" style="1" bestFit="1" customWidth="1"/>
    <col min="36" max="36" width="18.28515625" style="1" customWidth="1"/>
    <col min="37" max="37" width="10.85546875" style="1" customWidth="1"/>
    <col min="38" max="16384" width="9.140625" style="1"/>
  </cols>
  <sheetData>
    <row r="2" spans="1:37" ht="15" customHeight="1" x14ac:dyDescent="0.25">
      <c r="A2" s="175" t="s">
        <v>51</v>
      </c>
      <c r="B2" s="176"/>
      <c r="C2" s="176"/>
      <c r="D2" s="176"/>
      <c r="E2" s="176"/>
      <c r="F2" s="176"/>
      <c r="G2" s="176"/>
      <c r="H2" s="176"/>
      <c r="I2" s="176"/>
      <c r="J2" s="176"/>
    </row>
    <row r="3" spans="1:37" ht="15" x14ac:dyDescent="0.25">
      <c r="A3" s="6"/>
    </row>
    <row r="4" spans="1:37" ht="15" customHeight="1" x14ac:dyDescent="0.2">
      <c r="A4" s="177" t="s">
        <v>84</v>
      </c>
      <c r="B4" s="178" t="s">
        <v>19</v>
      </c>
      <c r="C4" s="178"/>
      <c r="D4" s="179" t="s">
        <v>13</v>
      </c>
      <c r="E4" s="174" t="s">
        <v>20</v>
      </c>
      <c r="F4" s="174"/>
      <c r="G4" s="179" t="s">
        <v>13</v>
      </c>
      <c r="H4" s="174" t="s">
        <v>21</v>
      </c>
      <c r="I4" s="174"/>
      <c r="J4" s="179" t="s">
        <v>13</v>
      </c>
      <c r="K4" s="174" t="s">
        <v>2</v>
      </c>
      <c r="L4" s="174"/>
      <c r="M4" s="179" t="s">
        <v>13</v>
      </c>
      <c r="N4" s="174" t="s">
        <v>3</v>
      </c>
      <c r="O4" s="174"/>
      <c r="P4" s="179" t="s">
        <v>13</v>
      </c>
      <c r="Q4" s="174" t="s">
        <v>4</v>
      </c>
      <c r="R4" s="174"/>
      <c r="S4" s="179" t="s">
        <v>13</v>
      </c>
      <c r="T4" s="174" t="s">
        <v>5</v>
      </c>
      <c r="U4" s="174"/>
      <c r="V4" s="180" t="s">
        <v>13</v>
      </c>
      <c r="W4" s="174" t="s">
        <v>10</v>
      </c>
      <c r="X4" s="174"/>
      <c r="Y4" s="179" t="s">
        <v>13</v>
      </c>
      <c r="Z4" s="174" t="s">
        <v>14</v>
      </c>
      <c r="AA4" s="174"/>
      <c r="AB4" s="179" t="s">
        <v>13</v>
      </c>
      <c r="AC4" s="174" t="s">
        <v>15</v>
      </c>
      <c r="AD4" s="174"/>
      <c r="AE4" s="179" t="s">
        <v>13</v>
      </c>
      <c r="AF4" s="174" t="s">
        <v>16</v>
      </c>
      <c r="AG4" s="174"/>
      <c r="AH4" s="179" t="s">
        <v>13</v>
      </c>
      <c r="AI4" s="174" t="s">
        <v>17</v>
      </c>
      <c r="AJ4" s="174"/>
      <c r="AK4" s="179" t="s">
        <v>13</v>
      </c>
    </row>
    <row r="5" spans="1:37" x14ac:dyDescent="0.2">
      <c r="A5" s="177"/>
      <c r="B5" s="178"/>
      <c r="C5" s="178"/>
      <c r="D5" s="179"/>
      <c r="E5" s="174"/>
      <c r="F5" s="174"/>
      <c r="G5" s="179"/>
      <c r="H5" s="174"/>
      <c r="I5" s="174"/>
      <c r="J5" s="179"/>
      <c r="K5" s="174"/>
      <c r="L5" s="174"/>
      <c r="M5" s="179"/>
      <c r="N5" s="174"/>
      <c r="O5" s="174"/>
      <c r="P5" s="179"/>
      <c r="Q5" s="174"/>
      <c r="R5" s="174"/>
      <c r="S5" s="179"/>
      <c r="T5" s="174"/>
      <c r="U5" s="174"/>
      <c r="V5" s="180"/>
      <c r="W5" s="174"/>
      <c r="X5" s="174"/>
      <c r="Y5" s="179"/>
      <c r="Z5" s="174"/>
      <c r="AA5" s="174"/>
      <c r="AB5" s="179"/>
      <c r="AC5" s="174"/>
      <c r="AD5" s="174"/>
      <c r="AE5" s="179"/>
      <c r="AF5" s="174"/>
      <c r="AG5" s="174"/>
      <c r="AH5" s="179"/>
      <c r="AI5" s="174"/>
      <c r="AJ5" s="174"/>
      <c r="AK5" s="179"/>
    </row>
    <row r="6" spans="1:37" ht="27.75" customHeight="1" x14ac:dyDescent="0.25">
      <c r="A6" s="5" t="s">
        <v>6</v>
      </c>
      <c r="B6" s="5" t="s">
        <v>11</v>
      </c>
      <c r="C6" s="5" t="s">
        <v>12</v>
      </c>
      <c r="D6" s="179"/>
      <c r="E6" s="5" t="s">
        <v>11</v>
      </c>
      <c r="F6" s="5" t="s">
        <v>12</v>
      </c>
      <c r="G6" s="179"/>
      <c r="H6" s="5" t="s">
        <v>11</v>
      </c>
      <c r="I6" s="5" t="s">
        <v>12</v>
      </c>
      <c r="J6" s="179"/>
      <c r="K6" s="5" t="s">
        <v>11</v>
      </c>
      <c r="L6" s="5" t="s">
        <v>12</v>
      </c>
      <c r="M6" s="179"/>
      <c r="N6" s="5" t="s">
        <v>11</v>
      </c>
      <c r="O6" s="5" t="s">
        <v>12</v>
      </c>
      <c r="P6" s="179"/>
      <c r="Q6" s="5" t="s">
        <v>11</v>
      </c>
      <c r="R6" s="5" t="s">
        <v>12</v>
      </c>
      <c r="S6" s="179"/>
      <c r="T6" s="5" t="s">
        <v>11</v>
      </c>
      <c r="U6" s="5" t="s">
        <v>12</v>
      </c>
      <c r="V6" s="180"/>
      <c r="W6" s="5" t="s">
        <v>11</v>
      </c>
      <c r="X6" s="5" t="s">
        <v>12</v>
      </c>
      <c r="Y6" s="179"/>
      <c r="Z6" s="5" t="s">
        <v>11</v>
      </c>
      <c r="AA6" s="5" t="s">
        <v>12</v>
      </c>
      <c r="AB6" s="179"/>
      <c r="AC6" s="5" t="s">
        <v>11</v>
      </c>
      <c r="AD6" s="5" t="s">
        <v>12</v>
      </c>
      <c r="AE6" s="179"/>
      <c r="AF6" s="5" t="s">
        <v>11</v>
      </c>
      <c r="AG6" s="5" t="s">
        <v>12</v>
      </c>
      <c r="AH6" s="179"/>
      <c r="AI6" s="5" t="s">
        <v>11</v>
      </c>
      <c r="AJ6" s="5" t="s">
        <v>12</v>
      </c>
      <c r="AK6" s="179"/>
    </row>
    <row r="7" spans="1:37" ht="15.75" thickBot="1" x14ac:dyDescent="0.3">
      <c r="A7" s="2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5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 ht="15" x14ac:dyDescent="0.2">
      <c r="A8" s="16" t="s">
        <v>87</v>
      </c>
      <c r="B8" s="48">
        <v>81214.899999999994</v>
      </c>
      <c r="C8" s="48">
        <v>81214.899999999994</v>
      </c>
      <c r="D8" s="8"/>
      <c r="E8" s="50">
        <v>94711.8</v>
      </c>
      <c r="F8" s="50">
        <v>94711.8</v>
      </c>
      <c r="G8" s="49"/>
      <c r="H8" s="50">
        <v>114529.86</v>
      </c>
      <c r="I8" s="50">
        <v>114529.86</v>
      </c>
      <c r="J8" s="49"/>
      <c r="K8" s="50">
        <v>109126</v>
      </c>
      <c r="L8" s="50">
        <v>109126</v>
      </c>
      <c r="M8" s="49"/>
      <c r="N8" s="50">
        <v>117932</v>
      </c>
      <c r="O8" s="50">
        <v>117932</v>
      </c>
      <c r="P8" s="49"/>
      <c r="Q8" s="50">
        <v>96682.5</v>
      </c>
      <c r="R8" s="50">
        <v>96682.5</v>
      </c>
      <c r="S8" s="49"/>
      <c r="T8" s="50">
        <v>181356.4</v>
      </c>
      <c r="U8" s="50">
        <v>181356.4</v>
      </c>
      <c r="V8" s="51"/>
      <c r="W8" s="50">
        <v>97746</v>
      </c>
      <c r="X8" s="50">
        <v>97746</v>
      </c>
      <c r="Y8" s="49"/>
      <c r="Z8" s="123">
        <v>335581.31</v>
      </c>
      <c r="AA8" s="123">
        <v>335581.31</v>
      </c>
      <c r="AB8" s="8"/>
      <c r="AC8" s="123">
        <v>342910</v>
      </c>
      <c r="AD8" s="123">
        <v>342910</v>
      </c>
      <c r="AE8" s="49"/>
      <c r="AF8" s="123">
        <v>205819</v>
      </c>
      <c r="AG8" s="123">
        <v>205819</v>
      </c>
      <c r="AH8" s="8"/>
      <c r="AI8" s="123">
        <v>418509.41</v>
      </c>
      <c r="AJ8" s="123">
        <v>418509.41</v>
      </c>
      <c r="AK8" s="8"/>
    </row>
    <row r="9" spans="1:37" ht="15" x14ac:dyDescent="0.2">
      <c r="A9" s="16" t="s">
        <v>109</v>
      </c>
      <c r="B9" s="48"/>
      <c r="C9" s="50"/>
      <c r="D9" s="49"/>
      <c r="E9" s="50"/>
      <c r="F9" s="50"/>
      <c r="G9" s="49"/>
      <c r="H9" s="50"/>
      <c r="I9" s="50"/>
      <c r="J9" s="49"/>
      <c r="K9" s="50"/>
      <c r="L9" s="50"/>
      <c r="M9" s="49"/>
      <c r="N9" s="50"/>
      <c r="O9" s="50"/>
      <c r="P9" s="49"/>
      <c r="Q9" s="50"/>
      <c r="R9" s="50"/>
      <c r="S9" s="49"/>
      <c r="T9" s="50"/>
      <c r="U9" s="50"/>
      <c r="V9" s="51"/>
      <c r="W9" s="50"/>
      <c r="X9" s="50"/>
      <c r="Y9" s="49"/>
      <c r="Z9" s="50"/>
      <c r="AA9" s="50"/>
      <c r="AB9" s="8"/>
      <c r="AC9" s="50"/>
      <c r="AD9" s="50"/>
      <c r="AE9" s="49"/>
      <c r="AF9" s="8"/>
      <c r="AG9" s="8"/>
      <c r="AH9" s="8"/>
      <c r="AI9" s="8"/>
      <c r="AJ9" s="8"/>
      <c r="AK9" s="8"/>
    </row>
    <row r="10" spans="1:37" ht="15" x14ac:dyDescent="0.2">
      <c r="A10" s="16"/>
      <c r="B10" s="8"/>
      <c r="C10" s="47"/>
      <c r="D10" s="8"/>
      <c r="E10" s="8"/>
      <c r="F10" s="47"/>
      <c r="G10" s="8"/>
      <c r="H10" s="8"/>
      <c r="I10" s="47"/>
      <c r="J10" s="8"/>
      <c r="K10" s="8"/>
      <c r="L10" s="47"/>
      <c r="M10" s="8"/>
      <c r="N10" s="8"/>
      <c r="O10" s="47"/>
      <c r="P10" s="8"/>
      <c r="Q10" s="8"/>
      <c r="R10" s="47"/>
      <c r="S10" s="8"/>
      <c r="T10" s="8"/>
      <c r="U10" s="47"/>
      <c r="V10" s="36"/>
      <c r="W10" s="8"/>
      <c r="X10" s="47"/>
      <c r="Y10" s="8"/>
      <c r="Z10" s="8"/>
      <c r="AA10" s="47"/>
      <c r="AB10" s="8"/>
      <c r="AC10" s="8"/>
      <c r="AD10" s="47"/>
      <c r="AE10" s="8"/>
      <c r="AF10" s="8"/>
      <c r="AG10" s="8"/>
      <c r="AH10" s="8"/>
      <c r="AI10" s="8"/>
      <c r="AJ10" s="8"/>
      <c r="AK10" s="8"/>
    </row>
    <row r="11" spans="1:37" s="24" customFormat="1" ht="15.75" x14ac:dyDescent="0.25">
      <c r="A11" s="23" t="s">
        <v>53</v>
      </c>
      <c r="B11" s="8">
        <f>B8+B10</f>
        <v>81214.899999999994</v>
      </c>
      <c r="C11" s="8">
        <f t="shared" ref="C11:AK11" si="0">C8+C10</f>
        <v>81214.899999999994</v>
      </c>
      <c r="D11" s="8">
        <f t="shared" si="0"/>
        <v>0</v>
      </c>
      <c r="E11" s="8">
        <f t="shared" si="0"/>
        <v>94711.8</v>
      </c>
      <c r="F11" s="8">
        <f t="shared" si="0"/>
        <v>94711.8</v>
      </c>
      <c r="G11" s="8">
        <f t="shared" si="0"/>
        <v>0</v>
      </c>
      <c r="H11" s="8">
        <f t="shared" si="0"/>
        <v>114529.86</v>
      </c>
      <c r="I11" s="8">
        <f t="shared" si="0"/>
        <v>114529.86</v>
      </c>
      <c r="J11" s="8">
        <f t="shared" si="0"/>
        <v>0</v>
      </c>
      <c r="K11" s="8">
        <f t="shared" si="0"/>
        <v>109126</v>
      </c>
      <c r="L11" s="8">
        <f t="shared" si="0"/>
        <v>109126</v>
      </c>
      <c r="M11" s="8">
        <f t="shared" si="0"/>
        <v>0</v>
      </c>
      <c r="N11" s="8">
        <f t="shared" si="0"/>
        <v>117932</v>
      </c>
      <c r="O11" s="8">
        <f t="shared" si="0"/>
        <v>117932</v>
      </c>
      <c r="P11" s="8">
        <f t="shared" si="0"/>
        <v>0</v>
      </c>
      <c r="Q11" s="8">
        <f t="shared" si="0"/>
        <v>96682.5</v>
      </c>
      <c r="R11" s="8">
        <f t="shared" si="0"/>
        <v>96682.5</v>
      </c>
      <c r="S11" s="8">
        <f t="shared" si="0"/>
        <v>0</v>
      </c>
      <c r="T11" s="8">
        <f t="shared" si="0"/>
        <v>181356.4</v>
      </c>
      <c r="U11" s="8">
        <f t="shared" si="0"/>
        <v>181356.4</v>
      </c>
      <c r="V11" s="8">
        <f t="shared" si="0"/>
        <v>0</v>
      </c>
      <c r="W11" s="8">
        <f t="shared" si="0"/>
        <v>97746</v>
      </c>
      <c r="X11" s="8">
        <f t="shared" si="0"/>
        <v>97746</v>
      </c>
      <c r="Y11" s="8">
        <f t="shared" si="0"/>
        <v>0</v>
      </c>
      <c r="Z11" s="8">
        <f t="shared" si="0"/>
        <v>335581.31</v>
      </c>
      <c r="AA11" s="8">
        <f t="shared" si="0"/>
        <v>335581.31</v>
      </c>
      <c r="AB11" s="8">
        <f t="shared" si="0"/>
        <v>0</v>
      </c>
      <c r="AC11" s="8">
        <f t="shared" si="0"/>
        <v>342910</v>
      </c>
      <c r="AD11" s="8">
        <f t="shared" si="0"/>
        <v>342910</v>
      </c>
      <c r="AE11" s="8">
        <f t="shared" si="0"/>
        <v>0</v>
      </c>
      <c r="AF11" s="8">
        <f t="shared" si="0"/>
        <v>205819</v>
      </c>
      <c r="AG11" s="8">
        <f t="shared" si="0"/>
        <v>205819</v>
      </c>
      <c r="AH11" s="8">
        <f t="shared" si="0"/>
        <v>0</v>
      </c>
      <c r="AI11" s="8">
        <f t="shared" si="0"/>
        <v>418509.41</v>
      </c>
      <c r="AJ11" s="8">
        <f t="shared" si="0"/>
        <v>418509.41</v>
      </c>
      <c r="AK11" s="8">
        <f t="shared" si="0"/>
        <v>0</v>
      </c>
    </row>
    <row r="12" spans="1:37" s="149" customFormat="1" ht="15.75" x14ac:dyDescent="0.25">
      <c r="A12" s="148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5" x14ac:dyDescent="0.25">
      <c r="A13" s="150" t="s">
        <v>117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2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</row>
    <row r="14" spans="1:37" x14ac:dyDescent="0.2">
      <c r="A14" s="3" t="s">
        <v>118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38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 x14ac:dyDescent="0.2">
      <c r="A15" s="3" t="s">
        <v>122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38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37" x14ac:dyDescent="0.2">
      <c r="A16" s="3" t="s">
        <v>121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38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37" ht="15" x14ac:dyDescent="0.25">
      <c r="A17" s="153" t="s">
        <v>119</v>
      </c>
      <c r="B17" s="9" t="e">
        <f>B14+B15+#REF!+B16</f>
        <v>#REF!</v>
      </c>
      <c r="C17" s="9" t="e">
        <f>C14+C15+#REF!+C16</f>
        <v>#REF!</v>
      </c>
      <c r="D17" s="9" t="e">
        <f>D14+D15+#REF!+D16</f>
        <v>#REF!</v>
      </c>
      <c r="E17" s="9" t="e">
        <f>E14+E15+#REF!+E16</f>
        <v>#REF!</v>
      </c>
      <c r="F17" s="9" t="e">
        <f>F14+F15+#REF!+F16</f>
        <v>#REF!</v>
      </c>
      <c r="G17" s="9" t="e">
        <f>G14+G15+#REF!+G16</f>
        <v>#REF!</v>
      </c>
      <c r="H17" s="9" t="e">
        <f>H14+H15+#REF!+H16</f>
        <v>#REF!</v>
      </c>
      <c r="I17" s="9" t="e">
        <f>I14+I15+#REF!+I16</f>
        <v>#REF!</v>
      </c>
      <c r="J17" s="9" t="e">
        <f>J14+J15+#REF!+J16</f>
        <v>#REF!</v>
      </c>
      <c r="K17" s="9" t="e">
        <f>K14+K15+#REF!+K16</f>
        <v>#REF!</v>
      </c>
      <c r="L17" s="9" t="e">
        <f>L14+L15+#REF!+L16</f>
        <v>#REF!</v>
      </c>
      <c r="M17" s="9" t="e">
        <f>M14+M15+#REF!+M16</f>
        <v>#REF!</v>
      </c>
      <c r="N17" s="9" t="e">
        <f>N14+N15+#REF!+N16</f>
        <v>#REF!</v>
      </c>
      <c r="O17" s="9" t="e">
        <f>O14+O15+#REF!+O16</f>
        <v>#REF!</v>
      </c>
      <c r="P17" s="9" t="e">
        <f>P14+P15+#REF!+P16</f>
        <v>#REF!</v>
      </c>
      <c r="Q17" s="9" t="e">
        <f>Q14+Q15+#REF!+Q16</f>
        <v>#REF!</v>
      </c>
      <c r="R17" s="9" t="e">
        <f>R14+R15+#REF!+R16</f>
        <v>#REF!</v>
      </c>
      <c r="S17" s="9" t="e">
        <f>S14+S15+#REF!+S16</f>
        <v>#REF!</v>
      </c>
      <c r="T17" s="9" t="e">
        <f>T14+T15+#REF!+T16</f>
        <v>#REF!</v>
      </c>
      <c r="U17" s="9" t="e">
        <f>U14+U15+#REF!+U16</f>
        <v>#REF!</v>
      </c>
      <c r="V17" s="9" t="e">
        <f>V14+V15+#REF!+V16</f>
        <v>#REF!</v>
      </c>
      <c r="W17" s="9" t="e">
        <f>W14+W15+#REF!+W16</f>
        <v>#REF!</v>
      </c>
      <c r="X17" s="9" t="e">
        <f>X14+X15+#REF!+X16</f>
        <v>#REF!</v>
      </c>
      <c r="Y17" s="9" t="e">
        <f>Y14+Y15+#REF!+Y16</f>
        <v>#REF!</v>
      </c>
      <c r="Z17" s="9" t="e">
        <f>Z14+Z15+#REF!+Z16</f>
        <v>#REF!</v>
      </c>
      <c r="AA17" s="9" t="e">
        <f>AA14+AA15+#REF!+AA16</f>
        <v>#REF!</v>
      </c>
      <c r="AB17" s="9" t="e">
        <f>AB14+AB15+#REF!+AB16</f>
        <v>#REF!</v>
      </c>
      <c r="AC17" s="9" t="e">
        <f>AC14+AC15+#REF!+AC16</f>
        <v>#REF!</v>
      </c>
      <c r="AD17" s="9" t="e">
        <f>AD14+AD15+#REF!+AD16</f>
        <v>#REF!</v>
      </c>
      <c r="AE17" s="9" t="e">
        <f>AE14+AE15+#REF!+AE16</f>
        <v>#REF!</v>
      </c>
      <c r="AF17" s="9" t="e">
        <f>AF14+AF15+#REF!+AF16</f>
        <v>#REF!</v>
      </c>
      <c r="AG17" s="9" t="e">
        <f>AG14+AG15+#REF!+AG16</f>
        <v>#REF!</v>
      </c>
      <c r="AH17" s="9" t="e">
        <f>AH14+AH15+#REF!+AH16</f>
        <v>#REF!</v>
      </c>
      <c r="AI17" s="9" t="e">
        <f>AI14+AI15+#REF!+AI16</f>
        <v>#REF!</v>
      </c>
      <c r="AJ17" s="9" t="e">
        <f>AJ14+AJ15+#REF!+AJ16</f>
        <v>#REF!</v>
      </c>
      <c r="AK17" s="9" t="e">
        <f>AK14+AK15+#REF!+AK16</f>
        <v>#REF!</v>
      </c>
    </row>
    <row r="18" spans="1:37" s="60" customFormat="1" ht="24.75" customHeight="1" x14ac:dyDescent="0.25">
      <c r="A18" s="154" t="s">
        <v>120</v>
      </c>
      <c r="B18" s="155" t="e">
        <f t="shared" ref="B18:AK18" si="1">B17/B11</f>
        <v>#REF!</v>
      </c>
      <c r="C18" s="155" t="e">
        <f t="shared" si="1"/>
        <v>#REF!</v>
      </c>
      <c r="D18" s="155" t="e">
        <f t="shared" si="1"/>
        <v>#REF!</v>
      </c>
      <c r="E18" s="155" t="e">
        <f t="shared" si="1"/>
        <v>#REF!</v>
      </c>
      <c r="F18" s="155" t="e">
        <f t="shared" si="1"/>
        <v>#REF!</v>
      </c>
      <c r="G18" s="155" t="e">
        <f t="shared" si="1"/>
        <v>#REF!</v>
      </c>
      <c r="H18" s="155" t="e">
        <f t="shared" si="1"/>
        <v>#REF!</v>
      </c>
      <c r="I18" s="155" t="e">
        <f t="shared" si="1"/>
        <v>#REF!</v>
      </c>
      <c r="J18" s="155" t="e">
        <f t="shared" si="1"/>
        <v>#REF!</v>
      </c>
      <c r="K18" s="155" t="e">
        <f t="shared" si="1"/>
        <v>#REF!</v>
      </c>
      <c r="L18" s="155" t="e">
        <f t="shared" si="1"/>
        <v>#REF!</v>
      </c>
      <c r="M18" s="155" t="e">
        <f t="shared" si="1"/>
        <v>#REF!</v>
      </c>
      <c r="N18" s="155" t="e">
        <f t="shared" si="1"/>
        <v>#REF!</v>
      </c>
      <c r="O18" s="155" t="e">
        <f t="shared" si="1"/>
        <v>#REF!</v>
      </c>
      <c r="P18" s="155" t="e">
        <f t="shared" si="1"/>
        <v>#REF!</v>
      </c>
      <c r="Q18" s="155" t="e">
        <f t="shared" si="1"/>
        <v>#REF!</v>
      </c>
      <c r="R18" s="155" t="e">
        <f t="shared" si="1"/>
        <v>#REF!</v>
      </c>
      <c r="S18" s="155" t="e">
        <f t="shared" si="1"/>
        <v>#REF!</v>
      </c>
      <c r="T18" s="155" t="e">
        <f t="shared" si="1"/>
        <v>#REF!</v>
      </c>
      <c r="U18" s="155" t="e">
        <f t="shared" si="1"/>
        <v>#REF!</v>
      </c>
      <c r="V18" s="155" t="e">
        <f t="shared" si="1"/>
        <v>#REF!</v>
      </c>
      <c r="W18" s="155" t="e">
        <f t="shared" si="1"/>
        <v>#REF!</v>
      </c>
      <c r="X18" s="155" t="e">
        <f t="shared" si="1"/>
        <v>#REF!</v>
      </c>
      <c r="Y18" s="155" t="e">
        <f t="shared" si="1"/>
        <v>#REF!</v>
      </c>
      <c r="Z18" s="155" t="e">
        <f t="shared" si="1"/>
        <v>#REF!</v>
      </c>
      <c r="AA18" s="155" t="e">
        <f t="shared" si="1"/>
        <v>#REF!</v>
      </c>
      <c r="AB18" s="155" t="e">
        <f t="shared" si="1"/>
        <v>#REF!</v>
      </c>
      <c r="AC18" s="155" t="e">
        <f t="shared" si="1"/>
        <v>#REF!</v>
      </c>
      <c r="AD18" s="155" t="e">
        <f t="shared" si="1"/>
        <v>#REF!</v>
      </c>
      <c r="AE18" s="155" t="e">
        <f t="shared" si="1"/>
        <v>#REF!</v>
      </c>
      <c r="AF18" s="155" t="e">
        <f t="shared" si="1"/>
        <v>#REF!</v>
      </c>
      <c r="AG18" s="155" t="e">
        <f t="shared" si="1"/>
        <v>#REF!</v>
      </c>
      <c r="AH18" s="155" t="e">
        <f t="shared" si="1"/>
        <v>#REF!</v>
      </c>
      <c r="AI18" s="155" t="e">
        <f t="shared" si="1"/>
        <v>#REF!</v>
      </c>
      <c r="AJ18" s="155" t="e">
        <f t="shared" si="1"/>
        <v>#REF!</v>
      </c>
      <c r="AK18" s="155" t="e">
        <f t="shared" si="1"/>
        <v>#REF!</v>
      </c>
    </row>
    <row r="19" spans="1:37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5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ht="15" x14ac:dyDescent="0.25">
      <c r="A20" s="10" t="s">
        <v>76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40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spans="1:37" ht="15" x14ac:dyDescent="0.2">
      <c r="A21" s="13" t="s">
        <v>88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38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>
        <v>0</v>
      </c>
    </row>
    <row r="22" spans="1:37" ht="15" x14ac:dyDescent="0.2">
      <c r="A22" s="13" t="s">
        <v>77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38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>
        <v>0</v>
      </c>
    </row>
    <row r="23" spans="1:37" ht="15" x14ac:dyDescent="0.2">
      <c r="A23" s="13" t="s">
        <v>40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38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>
        <v>0</v>
      </c>
    </row>
    <row r="24" spans="1:37" ht="15" x14ac:dyDescent="0.2">
      <c r="A24" s="13" t="s">
        <v>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38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>
        <v>0</v>
      </c>
    </row>
    <row r="25" spans="1:37" ht="15" x14ac:dyDescent="0.2">
      <c r="A25" s="13" t="s">
        <v>110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38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 ht="15" x14ac:dyDescent="0.2">
      <c r="A26" s="13" t="s">
        <v>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38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>
        <v>0</v>
      </c>
    </row>
    <row r="27" spans="1:37" ht="15" x14ac:dyDescent="0.2">
      <c r="A27" s="13" t="s">
        <v>78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38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>
        <v>0</v>
      </c>
    </row>
    <row r="28" spans="1:37" ht="15" x14ac:dyDescent="0.2">
      <c r="A28" s="13" t="s">
        <v>29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38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>
        <v>0</v>
      </c>
    </row>
    <row r="29" spans="1:37" ht="15" x14ac:dyDescent="0.2">
      <c r="A29" s="13" t="s">
        <v>36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38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>
        <v>0</v>
      </c>
    </row>
    <row r="30" spans="1:37" ht="15" x14ac:dyDescent="0.2">
      <c r="A30" s="13" t="s">
        <v>30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38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>
        <v>0</v>
      </c>
    </row>
    <row r="31" spans="1:37" ht="15" x14ac:dyDescent="0.2">
      <c r="A31" s="13" t="s">
        <v>27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38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>
        <v>0</v>
      </c>
    </row>
    <row r="32" spans="1:37" ht="15" x14ac:dyDescent="0.2">
      <c r="A32" s="17" t="s">
        <v>37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38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>
        <v>0</v>
      </c>
    </row>
    <row r="33" spans="1:37" ht="15" x14ac:dyDescent="0.2">
      <c r="A33" s="13" t="s">
        <v>97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38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>
        <v>0</v>
      </c>
    </row>
    <row r="34" spans="1:37" ht="15" x14ac:dyDescent="0.2">
      <c r="A34" s="13" t="s">
        <v>72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38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>
        <v>0</v>
      </c>
    </row>
    <row r="35" spans="1:37" ht="15" x14ac:dyDescent="0.2">
      <c r="A35" s="13" t="s">
        <v>81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38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>
        <v>0</v>
      </c>
    </row>
    <row r="36" spans="1:37" ht="15" x14ac:dyDescent="0.2">
      <c r="A36" s="13" t="s">
        <v>108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38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1:37" ht="15" x14ac:dyDescent="0.2">
      <c r="A37" s="13" t="s">
        <v>38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38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>
        <v>0</v>
      </c>
    </row>
    <row r="38" spans="1:37" ht="15" x14ac:dyDescent="0.2">
      <c r="A38" s="13" t="s">
        <v>90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38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>
        <v>28003.16</v>
      </c>
      <c r="AJ38" s="4">
        <v>28003.16</v>
      </c>
      <c r="AK38" s="4">
        <v>0</v>
      </c>
    </row>
    <row r="39" spans="1:37" ht="15" x14ac:dyDescent="0.2">
      <c r="A39" s="13" t="s">
        <v>114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38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>
        <v>0</v>
      </c>
    </row>
    <row r="40" spans="1:37" ht="15" x14ac:dyDescent="0.2">
      <c r="A40" s="13" t="s">
        <v>91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38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>
        <v>0</v>
      </c>
    </row>
    <row r="41" spans="1:37" ht="15" x14ac:dyDescent="0.2">
      <c r="A41" s="13" t="s">
        <v>92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38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>
        <v>0</v>
      </c>
    </row>
    <row r="42" spans="1:37" ht="15" x14ac:dyDescent="0.2">
      <c r="A42" s="13" t="s">
        <v>79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38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>
        <v>0</v>
      </c>
    </row>
    <row r="43" spans="1:37" ht="15" x14ac:dyDescent="0.2">
      <c r="A43" s="13" t="s">
        <v>89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38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>
        <v>0</v>
      </c>
    </row>
    <row r="44" spans="1:37" ht="15" x14ac:dyDescent="0.2">
      <c r="A44" s="13" t="s">
        <v>39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38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>
        <v>0</v>
      </c>
    </row>
    <row r="45" spans="1:37" ht="15" x14ac:dyDescent="0.2">
      <c r="A45" s="13" t="s">
        <v>66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38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>
        <v>0</v>
      </c>
    </row>
    <row r="46" spans="1:37" ht="15" x14ac:dyDescent="0.2">
      <c r="A46" s="13" t="s">
        <v>28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38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>
        <v>0</v>
      </c>
    </row>
    <row r="47" spans="1:37" ht="15" x14ac:dyDescent="0.2">
      <c r="A47" s="13" t="s">
        <v>99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38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>
        <v>0</v>
      </c>
    </row>
    <row r="48" spans="1:37" ht="15" x14ac:dyDescent="0.2">
      <c r="A48" s="13" t="s">
        <v>112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38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>
        <v>0</v>
      </c>
    </row>
    <row r="49" spans="1:37 16384:16384" ht="15" x14ac:dyDescent="0.2">
      <c r="A49" s="13" t="s">
        <v>83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38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>
        <v>0</v>
      </c>
    </row>
    <row r="50" spans="1:37 16384:16384" ht="15" x14ac:dyDescent="0.2">
      <c r="A50" s="13" t="s">
        <v>82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38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>
        <v>0</v>
      </c>
      <c r="XFD50" s="4"/>
    </row>
    <row r="51" spans="1:37 16384:16384" ht="15" x14ac:dyDescent="0.2">
      <c r="A51" s="13" t="s">
        <v>115</v>
      </c>
      <c r="B51" s="4"/>
      <c r="C51" s="4"/>
      <c r="D51" s="4"/>
      <c r="E51" s="4">
        <v>28200</v>
      </c>
      <c r="F51" s="4">
        <v>28200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38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>
        <v>0</v>
      </c>
    </row>
    <row r="52" spans="1:37 16384:16384" ht="15" x14ac:dyDescent="0.2">
      <c r="A52" s="13" t="s">
        <v>116</v>
      </c>
      <c r="B52" s="4"/>
      <c r="C52" s="4"/>
      <c r="D52" s="4"/>
      <c r="E52" s="4">
        <v>22840</v>
      </c>
      <c r="F52" s="4">
        <v>22840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38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37 16384:16384" ht="15" x14ac:dyDescent="0.2">
      <c r="A53" s="13" t="s">
        <v>34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38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>
        <v>0</v>
      </c>
    </row>
    <row r="54" spans="1:37 16384:16384" ht="15" x14ac:dyDescent="0.2">
      <c r="A54" s="13" t="s">
        <v>93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38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>
        <v>0</v>
      </c>
    </row>
    <row r="55" spans="1:37 16384:16384" ht="15" x14ac:dyDescent="0.2">
      <c r="A55" s="13" t="s">
        <v>94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38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>
        <v>0</v>
      </c>
    </row>
    <row r="56" spans="1:37 16384:16384" ht="15" x14ac:dyDescent="0.2">
      <c r="A56" s="13" t="s">
        <v>52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38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>
        <v>0</v>
      </c>
    </row>
    <row r="57" spans="1:37 16384:16384" ht="15" x14ac:dyDescent="0.2">
      <c r="A57" s="13" t="s">
        <v>96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38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>
        <v>0</v>
      </c>
    </row>
    <row r="58" spans="1:37 16384:16384" ht="15" x14ac:dyDescent="0.2">
      <c r="A58" s="13" t="s">
        <v>102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38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>
        <v>0</v>
      </c>
    </row>
    <row r="59" spans="1:37 16384:16384" ht="15" x14ac:dyDescent="0.2">
      <c r="A59" s="15" t="s">
        <v>48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38"/>
      <c r="W59" s="4"/>
      <c r="X59" s="4"/>
      <c r="Y59" s="4"/>
      <c r="Z59" s="4"/>
      <c r="AA59" s="4"/>
      <c r="AB59" s="4"/>
      <c r="AC59" s="3"/>
      <c r="AD59" s="4"/>
      <c r="AE59" s="4"/>
      <c r="AF59" s="4"/>
      <c r="AG59" s="4"/>
      <c r="AH59" s="4"/>
      <c r="AI59" s="4"/>
      <c r="AJ59" s="4"/>
      <c r="AK59" s="4">
        <v>0</v>
      </c>
    </row>
    <row r="60" spans="1:37 16384:16384" ht="15" x14ac:dyDescent="0.2">
      <c r="A60" s="13" t="s">
        <v>7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38"/>
      <c r="W60" s="4"/>
      <c r="X60" s="4"/>
      <c r="Y60" s="4"/>
      <c r="Z60" s="4"/>
      <c r="AA60" s="4"/>
      <c r="AB60" s="4"/>
      <c r="AC60" s="3"/>
      <c r="AD60" s="4"/>
      <c r="AE60" s="4"/>
      <c r="AF60" s="4"/>
      <c r="AG60" s="4"/>
      <c r="AH60" s="4"/>
      <c r="AI60" s="4"/>
      <c r="AJ60" s="4"/>
      <c r="AK60" s="4">
        <v>0</v>
      </c>
    </row>
    <row r="61" spans="1:37 16384:16384" x14ac:dyDescent="0.2">
      <c r="A61" s="115" t="s">
        <v>68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38"/>
      <c r="W61" s="4"/>
      <c r="X61" s="4"/>
      <c r="Y61" s="4"/>
      <c r="Z61" s="4"/>
      <c r="AA61" s="4"/>
      <c r="AB61" s="4"/>
      <c r="AC61" s="3"/>
      <c r="AD61" s="4"/>
      <c r="AE61" s="4"/>
      <c r="AF61" s="4"/>
      <c r="AG61" s="4"/>
      <c r="AH61" s="4"/>
      <c r="AI61" s="4"/>
      <c r="AJ61" s="4"/>
      <c r="AK61" s="4">
        <v>0</v>
      </c>
    </row>
    <row r="62" spans="1:37 16384:16384" x14ac:dyDescent="0.2">
      <c r="A62" s="115" t="s">
        <v>107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38"/>
      <c r="W62" s="4"/>
      <c r="X62" s="4"/>
      <c r="Y62" s="4"/>
      <c r="Z62" s="4"/>
      <c r="AA62" s="4"/>
      <c r="AB62" s="4"/>
      <c r="AC62" s="3"/>
      <c r="AD62" s="4"/>
      <c r="AE62" s="4"/>
      <c r="AF62" s="4"/>
      <c r="AG62" s="4"/>
      <c r="AH62" s="4"/>
      <c r="AI62" s="4"/>
      <c r="AJ62" s="4"/>
      <c r="AK62" s="4">
        <v>0</v>
      </c>
    </row>
    <row r="63" spans="1:37 16384:16384" ht="15" x14ac:dyDescent="0.2">
      <c r="A63" s="13" t="s">
        <v>18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38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>
        <v>0</v>
      </c>
    </row>
    <row r="64" spans="1:37 16384:16384" ht="15" x14ac:dyDescent="0.2">
      <c r="A64" s="17" t="s">
        <v>73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38"/>
      <c r="W64" s="4"/>
      <c r="X64" s="4"/>
      <c r="Y64" s="4"/>
      <c r="Z64" s="4"/>
      <c r="AA64" s="4"/>
      <c r="AB64" s="4"/>
      <c r="AC64" s="3"/>
      <c r="AD64" s="4"/>
      <c r="AE64" s="4"/>
      <c r="AF64" s="4"/>
      <c r="AG64" s="4"/>
      <c r="AH64" s="4"/>
      <c r="AI64" s="4"/>
      <c r="AJ64" s="4"/>
      <c r="AK64" s="4">
        <v>0</v>
      </c>
    </row>
    <row r="65" spans="1:37" ht="15" x14ac:dyDescent="0.2">
      <c r="A65" s="13" t="s">
        <v>54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38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>
        <v>0</v>
      </c>
    </row>
    <row r="66" spans="1:37" ht="15" x14ac:dyDescent="0.2">
      <c r="A66" s="13" t="s">
        <v>95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38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>
        <v>0</v>
      </c>
    </row>
    <row r="67" spans="1:37" ht="15" x14ac:dyDescent="0.2">
      <c r="A67" s="17" t="s">
        <v>43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38"/>
      <c r="W67" s="4"/>
      <c r="X67" s="4"/>
      <c r="Y67" s="4"/>
      <c r="Z67" s="4"/>
      <c r="AA67" s="4"/>
      <c r="AB67" s="4"/>
      <c r="AC67" s="3"/>
      <c r="AD67" s="4"/>
      <c r="AE67" s="4"/>
      <c r="AF67" s="4"/>
      <c r="AG67" s="4"/>
      <c r="AH67" s="4"/>
      <c r="AI67" s="4"/>
      <c r="AJ67" s="4"/>
      <c r="AK67" s="4">
        <v>0</v>
      </c>
    </row>
    <row r="68" spans="1:37" ht="15" x14ac:dyDescent="0.2">
      <c r="A68" s="17" t="s">
        <v>98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38"/>
      <c r="W68" s="4"/>
      <c r="X68" s="4"/>
      <c r="Y68" s="4"/>
      <c r="Z68" s="4"/>
      <c r="AA68" s="4"/>
      <c r="AB68" s="4"/>
      <c r="AC68" s="3"/>
      <c r="AD68" s="4"/>
      <c r="AE68" s="4"/>
      <c r="AF68" s="4"/>
      <c r="AG68" s="4"/>
      <c r="AH68" s="4"/>
      <c r="AI68" s="4"/>
      <c r="AJ68" s="4"/>
      <c r="AK68" s="4">
        <v>0</v>
      </c>
    </row>
    <row r="69" spans="1:37" ht="15" x14ac:dyDescent="0.2">
      <c r="A69" s="13" t="s">
        <v>80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38"/>
      <c r="W69" s="4"/>
      <c r="X69" s="4"/>
      <c r="Y69" s="4"/>
      <c r="Z69" s="4"/>
      <c r="AA69" s="4"/>
      <c r="AB69" s="4"/>
      <c r="AC69" s="3"/>
      <c r="AD69" s="4"/>
      <c r="AE69" s="4"/>
      <c r="AF69" s="4"/>
      <c r="AG69" s="4"/>
      <c r="AH69" s="4"/>
      <c r="AI69" s="4"/>
      <c r="AJ69" s="4"/>
      <c r="AK69" s="4">
        <v>0</v>
      </c>
    </row>
    <row r="70" spans="1:37" ht="15" x14ac:dyDescent="0.2">
      <c r="A70" s="13" t="s">
        <v>41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38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>
        <v>0</v>
      </c>
    </row>
    <row r="71" spans="1:37" ht="15" x14ac:dyDescent="0.2">
      <c r="A71" s="13" t="s">
        <v>49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38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>
        <v>0</v>
      </c>
    </row>
    <row r="72" spans="1:37" ht="15" x14ac:dyDescent="0.25">
      <c r="A72" s="26" t="s">
        <v>44</v>
      </c>
      <c r="B72" s="9">
        <f t="shared" ref="B72:AK72" si="2">SUM(B21:B71)</f>
        <v>0</v>
      </c>
      <c r="C72" s="9">
        <f t="shared" si="2"/>
        <v>0</v>
      </c>
      <c r="D72" s="9">
        <f t="shared" si="2"/>
        <v>0</v>
      </c>
      <c r="E72" s="9">
        <f t="shared" si="2"/>
        <v>51040</v>
      </c>
      <c r="F72" s="9">
        <f t="shared" si="2"/>
        <v>51040</v>
      </c>
      <c r="G72" s="9">
        <f t="shared" si="2"/>
        <v>0</v>
      </c>
      <c r="H72" s="9">
        <f t="shared" si="2"/>
        <v>0</v>
      </c>
      <c r="I72" s="9">
        <f t="shared" si="2"/>
        <v>0</v>
      </c>
      <c r="J72" s="9">
        <f t="shared" si="2"/>
        <v>0</v>
      </c>
      <c r="K72" s="9">
        <f t="shared" si="2"/>
        <v>0</v>
      </c>
      <c r="L72" s="9">
        <f t="shared" si="2"/>
        <v>0</v>
      </c>
      <c r="M72" s="9">
        <f t="shared" si="2"/>
        <v>0</v>
      </c>
      <c r="N72" s="9">
        <f t="shared" si="2"/>
        <v>0</v>
      </c>
      <c r="O72" s="9">
        <f t="shared" si="2"/>
        <v>0</v>
      </c>
      <c r="P72" s="9">
        <f t="shared" si="2"/>
        <v>0</v>
      </c>
      <c r="Q72" s="9">
        <f t="shared" si="2"/>
        <v>0</v>
      </c>
      <c r="R72" s="9">
        <f t="shared" si="2"/>
        <v>0</v>
      </c>
      <c r="S72" s="9">
        <f t="shared" si="2"/>
        <v>0</v>
      </c>
      <c r="T72" s="9">
        <f t="shared" si="2"/>
        <v>0</v>
      </c>
      <c r="U72" s="9">
        <f t="shared" si="2"/>
        <v>0</v>
      </c>
      <c r="V72" s="39">
        <f t="shared" si="2"/>
        <v>0</v>
      </c>
      <c r="W72" s="9">
        <f t="shared" si="2"/>
        <v>0</v>
      </c>
      <c r="X72" s="9">
        <f t="shared" si="2"/>
        <v>0</v>
      </c>
      <c r="Y72" s="9">
        <f t="shared" si="2"/>
        <v>0</v>
      </c>
      <c r="Z72" s="9">
        <f t="shared" si="2"/>
        <v>0</v>
      </c>
      <c r="AA72" s="9">
        <f t="shared" si="2"/>
        <v>0</v>
      </c>
      <c r="AB72" s="9">
        <f t="shared" si="2"/>
        <v>0</v>
      </c>
      <c r="AC72" s="9">
        <f t="shared" si="2"/>
        <v>0</v>
      </c>
      <c r="AD72" s="9">
        <f t="shared" si="2"/>
        <v>0</v>
      </c>
      <c r="AE72" s="9">
        <f t="shared" si="2"/>
        <v>0</v>
      </c>
      <c r="AF72" s="9">
        <f t="shared" si="2"/>
        <v>0</v>
      </c>
      <c r="AG72" s="9">
        <f t="shared" si="2"/>
        <v>0</v>
      </c>
      <c r="AH72" s="9">
        <f t="shared" si="2"/>
        <v>0</v>
      </c>
      <c r="AI72" s="9">
        <f t="shared" si="2"/>
        <v>28003.16</v>
      </c>
      <c r="AJ72" s="9">
        <f t="shared" si="2"/>
        <v>28003.16</v>
      </c>
      <c r="AK72" s="9">
        <f t="shared" si="2"/>
        <v>0</v>
      </c>
    </row>
    <row r="73" spans="1:37" ht="15" x14ac:dyDescent="0.25">
      <c r="A73" s="27" t="s">
        <v>8</v>
      </c>
      <c r="B73" s="7">
        <f t="shared" ref="B73:AK73" si="3">B11-B72</f>
        <v>81214.899999999994</v>
      </c>
      <c r="C73" s="7">
        <f t="shared" si="3"/>
        <v>81214.899999999994</v>
      </c>
      <c r="D73" s="7">
        <f t="shared" si="3"/>
        <v>0</v>
      </c>
      <c r="E73" s="7">
        <f t="shared" si="3"/>
        <v>43671.8</v>
      </c>
      <c r="F73" s="7">
        <f t="shared" si="3"/>
        <v>43671.8</v>
      </c>
      <c r="G73" s="7">
        <f t="shared" si="3"/>
        <v>0</v>
      </c>
      <c r="H73" s="7">
        <f t="shared" si="3"/>
        <v>114529.86</v>
      </c>
      <c r="I73" s="7">
        <f t="shared" si="3"/>
        <v>114529.86</v>
      </c>
      <c r="J73" s="7">
        <f t="shared" si="3"/>
        <v>0</v>
      </c>
      <c r="K73" s="7">
        <f t="shared" si="3"/>
        <v>109126</v>
      </c>
      <c r="L73" s="7">
        <f t="shared" si="3"/>
        <v>109126</v>
      </c>
      <c r="M73" s="7">
        <f t="shared" si="3"/>
        <v>0</v>
      </c>
      <c r="N73" s="7">
        <f t="shared" si="3"/>
        <v>117932</v>
      </c>
      <c r="O73" s="7">
        <f t="shared" si="3"/>
        <v>117932</v>
      </c>
      <c r="P73" s="7">
        <f t="shared" si="3"/>
        <v>0</v>
      </c>
      <c r="Q73" s="7">
        <f t="shared" si="3"/>
        <v>96682.5</v>
      </c>
      <c r="R73" s="7">
        <f t="shared" si="3"/>
        <v>96682.5</v>
      </c>
      <c r="S73" s="7">
        <f t="shared" si="3"/>
        <v>0</v>
      </c>
      <c r="T73" s="7">
        <f t="shared" si="3"/>
        <v>181356.4</v>
      </c>
      <c r="U73" s="7">
        <f t="shared" si="3"/>
        <v>181356.4</v>
      </c>
      <c r="V73" s="7">
        <f t="shared" si="3"/>
        <v>0</v>
      </c>
      <c r="W73" s="7">
        <f t="shared" si="3"/>
        <v>97746</v>
      </c>
      <c r="X73" s="7">
        <f t="shared" si="3"/>
        <v>97746</v>
      </c>
      <c r="Y73" s="7">
        <f t="shared" si="3"/>
        <v>0</v>
      </c>
      <c r="Z73" s="7">
        <f t="shared" si="3"/>
        <v>335581.31</v>
      </c>
      <c r="AA73" s="7">
        <f t="shared" si="3"/>
        <v>335581.31</v>
      </c>
      <c r="AB73" s="7">
        <f t="shared" si="3"/>
        <v>0</v>
      </c>
      <c r="AC73" s="7">
        <f t="shared" si="3"/>
        <v>342910</v>
      </c>
      <c r="AD73" s="7">
        <f t="shared" si="3"/>
        <v>342910</v>
      </c>
      <c r="AE73" s="7">
        <f t="shared" si="3"/>
        <v>0</v>
      </c>
      <c r="AF73" s="7">
        <f t="shared" si="3"/>
        <v>205819</v>
      </c>
      <c r="AG73" s="7">
        <f t="shared" si="3"/>
        <v>205819</v>
      </c>
      <c r="AH73" s="7">
        <f t="shared" si="3"/>
        <v>0</v>
      </c>
      <c r="AI73" s="7">
        <f t="shared" si="3"/>
        <v>390506.25</v>
      </c>
      <c r="AJ73" s="7">
        <f t="shared" si="3"/>
        <v>390506.25</v>
      </c>
      <c r="AK73" s="7">
        <f t="shared" si="3"/>
        <v>0</v>
      </c>
    </row>
    <row r="74" spans="1:37" ht="15" x14ac:dyDescent="0.25">
      <c r="A74" s="27" t="s">
        <v>45</v>
      </c>
      <c r="B74" s="22">
        <f t="shared" ref="B74:AK74" si="4">B11-B72</f>
        <v>81214.899999999994</v>
      </c>
      <c r="C74" s="22">
        <f t="shared" si="4"/>
        <v>81214.899999999994</v>
      </c>
      <c r="D74" s="22">
        <f t="shared" si="4"/>
        <v>0</v>
      </c>
      <c r="E74" s="22">
        <f t="shared" si="4"/>
        <v>43671.8</v>
      </c>
      <c r="F74" s="22">
        <f t="shared" si="4"/>
        <v>43671.8</v>
      </c>
      <c r="G74" s="22">
        <f t="shared" si="4"/>
        <v>0</v>
      </c>
      <c r="H74" s="22">
        <f t="shared" si="4"/>
        <v>114529.86</v>
      </c>
      <c r="I74" s="22">
        <f t="shared" si="4"/>
        <v>114529.86</v>
      </c>
      <c r="J74" s="22">
        <f t="shared" si="4"/>
        <v>0</v>
      </c>
      <c r="K74" s="22">
        <f t="shared" si="4"/>
        <v>109126</v>
      </c>
      <c r="L74" s="22">
        <f t="shared" si="4"/>
        <v>109126</v>
      </c>
      <c r="M74" s="7">
        <f t="shared" si="4"/>
        <v>0</v>
      </c>
      <c r="N74" s="22">
        <f t="shared" si="4"/>
        <v>117932</v>
      </c>
      <c r="O74" s="22">
        <f t="shared" si="4"/>
        <v>117932</v>
      </c>
      <c r="P74" s="7">
        <f t="shared" si="4"/>
        <v>0</v>
      </c>
      <c r="Q74" s="7">
        <f t="shared" si="4"/>
        <v>96682.5</v>
      </c>
      <c r="R74" s="7">
        <f t="shared" si="4"/>
        <v>96682.5</v>
      </c>
      <c r="S74" s="7">
        <f t="shared" si="4"/>
        <v>0</v>
      </c>
      <c r="T74" s="7">
        <f t="shared" si="4"/>
        <v>181356.4</v>
      </c>
      <c r="U74" s="7">
        <f t="shared" si="4"/>
        <v>181356.4</v>
      </c>
      <c r="V74" s="7">
        <f t="shared" si="4"/>
        <v>0</v>
      </c>
      <c r="W74" s="7">
        <f t="shared" si="4"/>
        <v>97746</v>
      </c>
      <c r="X74" s="7">
        <f t="shared" si="4"/>
        <v>97746</v>
      </c>
      <c r="Y74" s="7">
        <f t="shared" si="4"/>
        <v>0</v>
      </c>
      <c r="Z74" s="22">
        <f t="shared" si="4"/>
        <v>335581.31</v>
      </c>
      <c r="AA74" s="7">
        <f t="shared" si="4"/>
        <v>335581.31</v>
      </c>
      <c r="AB74" s="7">
        <f t="shared" si="4"/>
        <v>0</v>
      </c>
      <c r="AC74" s="22">
        <f t="shared" si="4"/>
        <v>342910</v>
      </c>
      <c r="AD74" s="22">
        <f t="shared" si="4"/>
        <v>342910</v>
      </c>
      <c r="AE74" s="22">
        <f t="shared" si="4"/>
        <v>0</v>
      </c>
      <c r="AF74" s="22">
        <f t="shared" si="4"/>
        <v>205819</v>
      </c>
      <c r="AG74" s="22">
        <f t="shared" si="4"/>
        <v>205819</v>
      </c>
      <c r="AH74" s="22">
        <f t="shared" si="4"/>
        <v>0</v>
      </c>
      <c r="AI74" s="22">
        <f t="shared" si="4"/>
        <v>390506.25</v>
      </c>
      <c r="AJ74" s="22">
        <f t="shared" si="4"/>
        <v>390506.25</v>
      </c>
      <c r="AK74" s="22">
        <f t="shared" si="4"/>
        <v>0</v>
      </c>
    </row>
    <row r="76" spans="1:37" x14ac:dyDescent="0.2">
      <c r="A76" s="1" t="s">
        <v>31</v>
      </c>
      <c r="B76" s="52">
        <f>B72/B11*100</f>
        <v>0</v>
      </c>
      <c r="C76" s="52">
        <f t="shared" ref="C76:AK76" si="5">IFERROR((C72/C11*100),"")</f>
        <v>0</v>
      </c>
      <c r="D76" s="53" t="str">
        <f t="shared" si="5"/>
        <v/>
      </c>
      <c r="E76" s="14">
        <f t="shared" si="5"/>
        <v>53.889800426134862</v>
      </c>
      <c r="F76" s="14">
        <f t="shared" si="5"/>
        <v>53.889800426134862</v>
      </c>
      <c r="G76" s="14" t="str">
        <f t="shared" si="5"/>
        <v/>
      </c>
      <c r="H76" s="14">
        <f t="shared" si="5"/>
        <v>0</v>
      </c>
      <c r="I76" s="14">
        <f t="shared" si="5"/>
        <v>0</v>
      </c>
      <c r="J76" s="14" t="str">
        <f t="shared" si="5"/>
        <v/>
      </c>
      <c r="K76" s="14">
        <f t="shared" si="5"/>
        <v>0</v>
      </c>
      <c r="L76" s="14">
        <f t="shared" si="5"/>
        <v>0</v>
      </c>
      <c r="M76" s="14" t="str">
        <f t="shared" si="5"/>
        <v/>
      </c>
      <c r="N76" s="14">
        <f t="shared" si="5"/>
        <v>0</v>
      </c>
      <c r="O76" s="14">
        <f t="shared" si="5"/>
        <v>0</v>
      </c>
      <c r="P76" s="14" t="str">
        <f t="shared" si="5"/>
        <v/>
      </c>
      <c r="Q76" s="14">
        <f t="shared" si="5"/>
        <v>0</v>
      </c>
      <c r="R76" s="14">
        <f t="shared" si="5"/>
        <v>0</v>
      </c>
      <c r="S76" s="14" t="str">
        <f t="shared" si="5"/>
        <v/>
      </c>
      <c r="T76" s="14">
        <f t="shared" si="5"/>
        <v>0</v>
      </c>
      <c r="U76" s="14">
        <f t="shared" si="5"/>
        <v>0</v>
      </c>
      <c r="V76" s="14" t="str">
        <f t="shared" si="5"/>
        <v/>
      </c>
      <c r="W76" s="14">
        <f t="shared" si="5"/>
        <v>0</v>
      </c>
      <c r="X76" s="14">
        <f t="shared" si="5"/>
        <v>0</v>
      </c>
      <c r="Y76" s="14" t="str">
        <f t="shared" si="5"/>
        <v/>
      </c>
      <c r="Z76" s="14">
        <f t="shared" si="5"/>
        <v>0</v>
      </c>
      <c r="AA76" s="14">
        <f t="shared" si="5"/>
        <v>0</v>
      </c>
      <c r="AB76" s="14" t="str">
        <f t="shared" si="5"/>
        <v/>
      </c>
      <c r="AC76" s="14">
        <f t="shared" si="5"/>
        <v>0</v>
      </c>
      <c r="AD76" s="14">
        <f t="shared" si="5"/>
        <v>0</v>
      </c>
      <c r="AE76" s="54" t="str">
        <f t="shared" si="5"/>
        <v/>
      </c>
      <c r="AF76" s="54">
        <f t="shared" si="5"/>
        <v>0</v>
      </c>
      <c r="AG76" s="54">
        <f t="shared" si="5"/>
        <v>0</v>
      </c>
      <c r="AH76" s="54" t="str">
        <f t="shared" si="5"/>
        <v/>
      </c>
      <c r="AI76" s="54">
        <f t="shared" si="5"/>
        <v>6.6911661556188191</v>
      </c>
      <c r="AJ76" s="54">
        <f t="shared" si="5"/>
        <v>6.6911661556188191</v>
      </c>
      <c r="AK76" s="54" t="str">
        <f t="shared" si="5"/>
        <v/>
      </c>
    </row>
    <row r="77" spans="1:37" x14ac:dyDescent="0.2"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41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spans="1:37" x14ac:dyDescent="0.2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41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spans="1:37" x14ac:dyDescent="0.2">
      <c r="A79" s="28" t="s">
        <v>85</v>
      </c>
      <c r="B79" s="28"/>
      <c r="C79" s="28"/>
      <c r="D79" s="28"/>
      <c r="E79" s="60"/>
      <c r="F79" s="60"/>
    </row>
    <row r="80" spans="1:37" x14ac:dyDescent="0.2">
      <c r="A80" s="121"/>
      <c r="B80" s="122" t="s">
        <v>100</v>
      </c>
      <c r="C80" s="122" t="s">
        <v>101</v>
      </c>
      <c r="D80" s="121"/>
      <c r="E80" s="60"/>
      <c r="F80" s="60"/>
    </row>
    <row r="81" spans="1:7" x14ac:dyDescent="0.2">
      <c r="A81" s="19" t="s">
        <v>32</v>
      </c>
      <c r="B81" s="124">
        <f>B11+E11+H11+K11+N11+Q11+T11+W11+Z11+AC11+AF11+AI11</f>
        <v>2196119.1800000002</v>
      </c>
      <c r="C81" s="137">
        <f>C11+F11+I11+L11+O11+R11+U11+X11+AA11+AD11+AG11+AJ11</f>
        <v>2196119.1800000002</v>
      </c>
      <c r="D81" s="19"/>
    </row>
    <row r="82" spans="1:7" x14ac:dyDescent="0.2">
      <c r="A82" s="19" t="s">
        <v>33</v>
      </c>
      <c r="B82" s="125">
        <f>B72+E72+H72+K72+N72+Q72+T72+W72+Z72+AC72+AF72+AI72</f>
        <v>79043.16</v>
      </c>
      <c r="C82" s="118">
        <f>C72+F72+I72+L72+O72+R72+U72+X72+AA72+AD72+AG72+AJ72</f>
        <v>79043.16</v>
      </c>
      <c r="D82" s="42">
        <f>C82/C81*100</f>
        <v>3.5992199658308159</v>
      </c>
      <c r="E82" s="1" t="s">
        <v>69</v>
      </c>
    </row>
    <row r="83" spans="1:7" x14ac:dyDescent="0.2">
      <c r="A83" s="20" t="s">
        <v>42</v>
      </c>
      <c r="B83" s="139">
        <f>B81-B82</f>
        <v>2117076.02</v>
      </c>
      <c r="C83" s="138">
        <f>C81-C82</f>
        <v>2117076.02</v>
      </c>
      <c r="D83" s="127"/>
    </row>
    <row r="84" spans="1:7" x14ac:dyDescent="0.2">
      <c r="A84" s="21" t="s">
        <v>35</v>
      </c>
      <c r="B84" s="55"/>
      <c r="C84" s="55"/>
      <c r="D84" s="126">
        <f>C83/C81</f>
        <v>0.96400780034169176</v>
      </c>
      <c r="E84" s="1" t="s">
        <v>55</v>
      </c>
    </row>
    <row r="85" spans="1:7" ht="15" thickBot="1" x14ac:dyDescent="0.25">
      <c r="A85" s="19" t="s">
        <v>75</v>
      </c>
      <c r="B85" s="55"/>
      <c r="C85" s="55"/>
      <c r="D85" s="119">
        <f>C83/8</f>
        <v>264634.5025</v>
      </c>
      <c r="E85" s="1" t="s">
        <v>65</v>
      </c>
      <c r="G85" s="25"/>
    </row>
    <row r="86" spans="1:7" ht="15.75" thickBot="1" x14ac:dyDescent="0.3">
      <c r="C86" s="56"/>
      <c r="D86" s="57"/>
      <c r="E86" s="58"/>
      <c r="G86" s="33"/>
    </row>
    <row r="87" spans="1:7" ht="15" x14ac:dyDescent="0.25">
      <c r="A87" s="59"/>
      <c r="C87" s="61">
        <f>C81/8</f>
        <v>274514.89750000002</v>
      </c>
      <c r="D87" s="62" t="s">
        <v>67</v>
      </c>
      <c r="E87" s="63"/>
    </row>
    <row r="88" spans="1:7" ht="15" x14ac:dyDescent="0.25">
      <c r="A88" s="136" t="s">
        <v>111</v>
      </c>
      <c r="C88" s="134">
        <f>C87*20%</f>
        <v>54902.979500000009</v>
      </c>
      <c r="D88" s="1" t="s">
        <v>104</v>
      </c>
      <c r="E88" s="128"/>
    </row>
    <row r="89" spans="1:7" x14ac:dyDescent="0.2">
      <c r="C89" s="135">
        <f>C87+C88</f>
        <v>329417.87700000004</v>
      </c>
      <c r="D89" s="1" t="s">
        <v>105</v>
      </c>
    </row>
    <row r="90" spans="1:7" x14ac:dyDescent="0.2">
      <c r="C90" s="135"/>
    </row>
    <row r="91" spans="1:7" x14ac:dyDescent="0.2">
      <c r="C91" s="129"/>
      <c r="D91" s="130" t="s">
        <v>103</v>
      </c>
      <c r="E91" s="131"/>
    </row>
    <row r="92" spans="1:7" x14ac:dyDescent="0.2">
      <c r="C92" s="132"/>
      <c r="E92" s="133"/>
    </row>
    <row r="93" spans="1:7" x14ac:dyDescent="0.2">
      <c r="C93" s="132"/>
      <c r="E93" s="133"/>
    </row>
  </sheetData>
  <mergeCells count="26">
    <mergeCell ref="Z4:AA5"/>
    <mergeCell ref="J4:J6"/>
    <mergeCell ref="K4:L5"/>
    <mergeCell ref="M4:M6"/>
    <mergeCell ref="N4:O5"/>
    <mergeCell ref="P4:P6"/>
    <mergeCell ref="Q4:R5"/>
    <mergeCell ref="S4:S6"/>
    <mergeCell ref="T4:U5"/>
    <mergeCell ref="V4:V6"/>
    <mergeCell ref="W4:X5"/>
    <mergeCell ref="Y4:Y6"/>
    <mergeCell ref="AK4:AK6"/>
    <mergeCell ref="AB4:AB6"/>
    <mergeCell ref="AC4:AD5"/>
    <mergeCell ref="AE4:AE6"/>
    <mergeCell ref="AF4:AG5"/>
    <mergeCell ref="AH4:AH6"/>
    <mergeCell ref="AI4:AJ5"/>
    <mergeCell ref="H4:I5"/>
    <mergeCell ref="A2:J2"/>
    <mergeCell ref="A4:A5"/>
    <mergeCell ref="B4:C5"/>
    <mergeCell ref="D4:D6"/>
    <mergeCell ref="E4:F5"/>
    <mergeCell ref="G4:G6"/>
  </mergeCells>
  <conditionalFormatting sqref="B76:D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6:AK76">
    <cfRule type="cellIs" dxfId="5" priority="2" operator="greaterThan">
      <formula>40.1</formula>
    </cfRule>
    <cfRule type="cellIs" dxfId="4" priority="3" operator="between">
      <formula>25.1</formula>
      <formula>40</formula>
    </cfRule>
    <cfRule type="cellIs" dxfId="3" priority="4" operator="lessThan">
      <formula>25</formula>
    </cfRule>
  </conditionalFormatting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96618-98F1-43A2-8934-8B0838ABD2A9}">
  <dimension ref="A2:XFD111"/>
  <sheetViews>
    <sheetView tabSelected="1" zoomScale="90" zoomScaleNormal="90" workbookViewId="0">
      <pane xSplit="1" ySplit="6" topLeftCell="W37" activePane="bottomRight" state="frozen"/>
      <selection pane="topRight" activeCell="B1" sqref="B1"/>
      <selection pane="bottomLeft" activeCell="A7" sqref="A7"/>
      <selection pane="bottomRight" activeCell="AA40" sqref="AA40"/>
    </sheetView>
  </sheetViews>
  <sheetFormatPr defaultColWidth="9.140625" defaultRowHeight="14.25" x14ac:dyDescent="0.2"/>
  <cols>
    <col min="1" max="1" width="35.5703125" style="1" customWidth="1"/>
    <col min="2" max="2" width="17.5703125" style="1" customWidth="1"/>
    <col min="3" max="3" width="17.7109375" style="1" customWidth="1"/>
    <col min="4" max="4" width="15.42578125" style="1" customWidth="1"/>
    <col min="5" max="5" width="20" style="1" customWidth="1"/>
    <col min="6" max="6" width="20.7109375" style="1" customWidth="1"/>
    <col min="7" max="7" width="13.42578125" style="1" customWidth="1"/>
    <col min="8" max="8" width="21.7109375" style="1" customWidth="1"/>
    <col min="9" max="9" width="20" style="1" customWidth="1"/>
    <col min="10" max="10" width="10.28515625" style="1" customWidth="1"/>
    <col min="11" max="11" width="20.85546875" style="1" customWidth="1"/>
    <col min="12" max="12" width="20" style="1" customWidth="1"/>
    <col min="13" max="13" width="12.28515625" style="1" customWidth="1"/>
    <col min="14" max="14" width="20" style="1" customWidth="1"/>
    <col min="15" max="15" width="20.5703125" style="1" customWidth="1"/>
    <col min="16" max="16" width="10.42578125" style="1" customWidth="1"/>
    <col min="17" max="17" width="20" style="1" customWidth="1"/>
    <col min="18" max="18" width="18.5703125" style="1" customWidth="1"/>
    <col min="19" max="19" width="10.42578125" style="1" customWidth="1"/>
    <col min="20" max="20" width="21.85546875" style="1" customWidth="1"/>
    <col min="21" max="21" width="16.140625" style="1" bestFit="1" customWidth="1"/>
    <col min="22" max="22" width="9" style="34" customWidth="1"/>
    <col min="23" max="23" width="22.140625" style="1" customWidth="1"/>
    <col min="24" max="24" width="16.140625" style="1" bestFit="1" customWidth="1"/>
    <col min="25" max="25" width="10" style="1" customWidth="1"/>
    <col min="26" max="26" width="20.7109375" style="1" customWidth="1"/>
    <col min="27" max="27" width="16.140625" style="1" bestFit="1" customWidth="1"/>
    <col min="28" max="28" width="9.5703125" style="1" customWidth="1"/>
    <col min="29" max="29" width="22.7109375" style="1" customWidth="1"/>
    <col min="30" max="30" width="16.140625" style="1" bestFit="1" customWidth="1"/>
    <col min="31" max="31" width="10.85546875" style="1" customWidth="1"/>
    <col min="32" max="32" width="22.85546875" style="1" customWidth="1"/>
    <col min="33" max="33" width="14.5703125" style="1" customWidth="1"/>
    <col min="34" max="34" width="9.28515625" style="1" customWidth="1"/>
    <col min="35" max="35" width="21.28515625" style="1" customWidth="1"/>
    <col min="36" max="36" width="15" style="1" customWidth="1"/>
    <col min="37" max="37" width="16.7109375" style="1" customWidth="1"/>
    <col min="38" max="16384" width="9.140625" style="1"/>
  </cols>
  <sheetData>
    <row r="2" spans="1:37" ht="15" customHeight="1" x14ac:dyDescent="0.25">
      <c r="A2" s="175" t="s">
        <v>51</v>
      </c>
      <c r="B2" s="176"/>
      <c r="C2" s="176"/>
      <c r="D2" s="176"/>
      <c r="E2" s="176"/>
      <c r="F2" s="176"/>
      <c r="G2" s="176"/>
      <c r="H2" s="176"/>
      <c r="I2" s="176"/>
      <c r="J2" s="176"/>
    </row>
    <row r="3" spans="1:37" ht="15" x14ac:dyDescent="0.25">
      <c r="A3" s="6"/>
    </row>
    <row r="4" spans="1:37" ht="15" customHeight="1" x14ac:dyDescent="0.2">
      <c r="A4" s="177" t="s">
        <v>113</v>
      </c>
      <c r="B4" s="178" t="s">
        <v>19</v>
      </c>
      <c r="C4" s="178"/>
      <c r="D4" s="179" t="s">
        <v>13</v>
      </c>
      <c r="E4" s="174" t="s">
        <v>20</v>
      </c>
      <c r="F4" s="174"/>
      <c r="G4" s="179" t="s">
        <v>13</v>
      </c>
      <c r="H4" s="174" t="s">
        <v>21</v>
      </c>
      <c r="I4" s="174"/>
      <c r="J4" s="179" t="s">
        <v>13</v>
      </c>
      <c r="K4" s="174" t="s">
        <v>2</v>
      </c>
      <c r="L4" s="174"/>
      <c r="M4" s="179" t="s">
        <v>13</v>
      </c>
      <c r="N4" s="174" t="s">
        <v>3</v>
      </c>
      <c r="O4" s="174"/>
      <c r="P4" s="179" t="s">
        <v>13</v>
      </c>
      <c r="Q4" s="174" t="s">
        <v>4</v>
      </c>
      <c r="R4" s="174"/>
      <c r="S4" s="179" t="s">
        <v>13</v>
      </c>
      <c r="T4" s="174" t="s">
        <v>168</v>
      </c>
      <c r="U4" s="174"/>
      <c r="V4" s="180" t="s">
        <v>13</v>
      </c>
      <c r="W4" s="174" t="s">
        <v>10</v>
      </c>
      <c r="X4" s="174"/>
      <c r="Y4" s="179" t="s">
        <v>13</v>
      </c>
      <c r="Z4" s="174" t="s">
        <v>14</v>
      </c>
      <c r="AA4" s="174"/>
      <c r="AB4" s="179" t="s">
        <v>13</v>
      </c>
      <c r="AC4" s="174" t="s">
        <v>15</v>
      </c>
      <c r="AD4" s="174"/>
      <c r="AE4" s="179" t="s">
        <v>13</v>
      </c>
      <c r="AF4" s="174" t="s">
        <v>16</v>
      </c>
      <c r="AG4" s="174"/>
      <c r="AH4" s="179" t="s">
        <v>13</v>
      </c>
      <c r="AI4" s="174" t="s">
        <v>17</v>
      </c>
      <c r="AJ4" s="174"/>
      <c r="AK4" s="179" t="s">
        <v>13</v>
      </c>
    </row>
    <row r="5" spans="1:37" x14ac:dyDescent="0.2">
      <c r="A5" s="177"/>
      <c r="B5" s="178"/>
      <c r="C5" s="178"/>
      <c r="D5" s="179"/>
      <c r="E5" s="174"/>
      <c r="F5" s="174"/>
      <c r="G5" s="179"/>
      <c r="H5" s="174"/>
      <c r="I5" s="174"/>
      <c r="J5" s="179"/>
      <c r="K5" s="174"/>
      <c r="L5" s="174"/>
      <c r="M5" s="179"/>
      <c r="N5" s="174"/>
      <c r="O5" s="174"/>
      <c r="P5" s="179"/>
      <c r="Q5" s="174"/>
      <c r="R5" s="174"/>
      <c r="S5" s="179"/>
      <c r="T5" s="174"/>
      <c r="U5" s="174"/>
      <c r="V5" s="180"/>
      <c r="W5" s="174"/>
      <c r="X5" s="174"/>
      <c r="Y5" s="179"/>
      <c r="Z5" s="174"/>
      <c r="AA5" s="174"/>
      <c r="AB5" s="179"/>
      <c r="AC5" s="174"/>
      <c r="AD5" s="174"/>
      <c r="AE5" s="179"/>
      <c r="AF5" s="174"/>
      <c r="AG5" s="174"/>
      <c r="AH5" s="179"/>
      <c r="AI5" s="174"/>
      <c r="AJ5" s="174"/>
      <c r="AK5" s="179"/>
    </row>
    <row r="6" spans="1:37" ht="27.75" customHeight="1" x14ac:dyDescent="0.25">
      <c r="A6" s="5" t="s">
        <v>6</v>
      </c>
      <c r="B6" s="5" t="s">
        <v>11</v>
      </c>
      <c r="C6" s="5" t="s">
        <v>12</v>
      </c>
      <c r="D6" s="179"/>
      <c r="E6" s="5" t="s">
        <v>11</v>
      </c>
      <c r="F6" s="5" t="s">
        <v>12</v>
      </c>
      <c r="G6" s="179"/>
      <c r="H6" s="5" t="s">
        <v>11</v>
      </c>
      <c r="I6" s="5" t="s">
        <v>12</v>
      </c>
      <c r="J6" s="179"/>
      <c r="K6" s="5" t="s">
        <v>11</v>
      </c>
      <c r="L6" s="5" t="s">
        <v>12</v>
      </c>
      <c r="M6" s="179"/>
      <c r="N6" s="5" t="s">
        <v>11</v>
      </c>
      <c r="O6" s="5" t="s">
        <v>12</v>
      </c>
      <c r="P6" s="179"/>
      <c r="Q6" s="5" t="s">
        <v>11</v>
      </c>
      <c r="R6" s="5" t="s">
        <v>12</v>
      </c>
      <c r="S6" s="179"/>
      <c r="T6" s="5" t="s">
        <v>11</v>
      </c>
      <c r="U6" s="5" t="s">
        <v>12</v>
      </c>
      <c r="V6" s="180"/>
      <c r="W6" s="5" t="s">
        <v>11</v>
      </c>
      <c r="X6" s="5" t="s">
        <v>12</v>
      </c>
      <c r="Y6" s="179"/>
      <c r="Z6" s="5" t="s">
        <v>11</v>
      </c>
      <c r="AA6" s="5" t="s">
        <v>12</v>
      </c>
      <c r="AB6" s="179"/>
      <c r="AC6" s="5" t="s">
        <v>11</v>
      </c>
      <c r="AD6" s="5" t="s">
        <v>12</v>
      </c>
      <c r="AE6" s="179"/>
      <c r="AF6" s="5" t="s">
        <v>11</v>
      </c>
      <c r="AG6" s="5" t="s">
        <v>12</v>
      </c>
      <c r="AH6" s="179"/>
      <c r="AI6" s="5" t="s">
        <v>11</v>
      </c>
      <c r="AJ6" s="5" t="s">
        <v>12</v>
      </c>
      <c r="AK6" s="179"/>
    </row>
    <row r="7" spans="1:37" ht="15" x14ac:dyDescent="0.25">
      <c r="A7" s="2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5"/>
      <c r="W7" s="3"/>
      <c r="X7" s="169"/>
      <c r="Y7" s="169"/>
      <c r="Z7" s="169"/>
      <c r="AA7" s="169"/>
      <c r="AB7" s="169"/>
      <c r="AC7" s="169"/>
      <c r="AD7" s="169"/>
      <c r="AE7" s="169"/>
      <c r="AF7" s="169"/>
      <c r="AG7" s="3"/>
      <c r="AH7" s="3"/>
      <c r="AI7" s="3"/>
      <c r="AJ7" s="3"/>
      <c r="AK7" s="3"/>
    </row>
    <row r="8" spans="1:37" ht="15" x14ac:dyDescent="0.2">
      <c r="A8" s="16" t="s">
        <v>87</v>
      </c>
      <c r="B8" s="157">
        <v>300000</v>
      </c>
      <c r="C8" s="157">
        <v>69424.62</v>
      </c>
      <c r="D8" s="8"/>
      <c r="E8" s="157">
        <v>300000</v>
      </c>
      <c r="F8" s="50">
        <v>65029.33</v>
      </c>
      <c r="G8" s="49"/>
      <c r="H8" s="157">
        <v>50000</v>
      </c>
      <c r="I8" s="50">
        <v>1440</v>
      </c>
      <c r="J8" s="49"/>
      <c r="K8" s="157">
        <v>15000</v>
      </c>
      <c r="L8" s="50">
        <v>12835.5</v>
      </c>
      <c r="M8" s="49"/>
      <c r="N8" s="157">
        <v>15000</v>
      </c>
      <c r="O8" s="157"/>
      <c r="P8" s="49"/>
      <c r="Q8" s="157">
        <v>15000</v>
      </c>
      <c r="R8" s="50"/>
      <c r="S8" s="49"/>
      <c r="T8" s="157">
        <v>15000</v>
      </c>
      <c r="U8" s="50">
        <v>14387</v>
      </c>
      <c r="V8" s="51"/>
      <c r="W8" s="157">
        <v>421000</v>
      </c>
      <c r="X8" s="50"/>
      <c r="Y8" s="8"/>
      <c r="Z8" s="157">
        <v>421000</v>
      </c>
      <c r="AA8" s="50"/>
      <c r="AB8" s="8"/>
      <c r="AC8" s="157">
        <v>421000</v>
      </c>
      <c r="AD8" s="50"/>
      <c r="AE8" s="8"/>
      <c r="AF8" s="157">
        <v>421000</v>
      </c>
      <c r="AG8" s="8"/>
      <c r="AH8" s="8"/>
      <c r="AI8" s="157">
        <v>421000</v>
      </c>
      <c r="AJ8" s="8"/>
      <c r="AK8" s="8"/>
    </row>
    <row r="9" spans="1:37" ht="15" x14ac:dyDescent="0.2">
      <c r="A9" s="16" t="s">
        <v>149</v>
      </c>
      <c r="B9" s="157"/>
      <c r="C9" s="170"/>
      <c r="D9" s="49"/>
      <c r="E9" s="157"/>
      <c r="F9" s="50"/>
      <c r="G9" s="49"/>
      <c r="H9" s="157">
        <v>200000</v>
      </c>
      <c r="I9" s="50">
        <v>122046.63</v>
      </c>
      <c r="J9" s="49"/>
      <c r="K9" s="157">
        <v>100000</v>
      </c>
      <c r="L9" s="50">
        <v>155447.69</v>
      </c>
      <c r="M9" s="49"/>
      <c r="N9" s="157">
        <v>100000</v>
      </c>
      <c r="O9" s="50">
        <v>66469.899999999994</v>
      </c>
      <c r="P9" s="49"/>
      <c r="Q9" s="157">
        <v>100000</v>
      </c>
      <c r="R9" s="50">
        <v>94755.76</v>
      </c>
      <c r="S9" s="49"/>
      <c r="T9" s="157">
        <v>100000</v>
      </c>
      <c r="U9" s="50">
        <v>281383.5</v>
      </c>
      <c r="V9" s="51"/>
      <c r="W9" s="157"/>
      <c r="X9" s="50">
        <v>65050</v>
      </c>
      <c r="Y9" s="8"/>
      <c r="Z9" s="170"/>
      <c r="AA9" s="50"/>
      <c r="AB9" s="8"/>
      <c r="AC9" s="170"/>
      <c r="AD9" s="50"/>
      <c r="AE9" s="8"/>
      <c r="AF9" s="170"/>
      <c r="AG9" s="8"/>
      <c r="AH9" s="8"/>
      <c r="AI9" s="157"/>
      <c r="AJ9" s="8"/>
      <c r="AK9" s="8"/>
    </row>
    <row r="10" spans="1:37" ht="15" x14ac:dyDescent="0.2">
      <c r="A10" s="16" t="s">
        <v>154</v>
      </c>
      <c r="B10" s="158"/>
      <c r="C10" s="167">
        <v>183063.8</v>
      </c>
      <c r="D10" s="49"/>
      <c r="E10" s="50"/>
      <c r="F10" s="50">
        <v>111733.23</v>
      </c>
      <c r="G10" s="49"/>
      <c r="H10" s="50">
        <v>100000</v>
      </c>
      <c r="I10" s="50">
        <v>36307</v>
      </c>
      <c r="J10" s="49"/>
      <c r="K10" s="50">
        <v>150000</v>
      </c>
      <c r="L10" s="50">
        <v>42295.5</v>
      </c>
      <c r="M10" s="49"/>
      <c r="N10" s="50">
        <v>150000</v>
      </c>
      <c r="O10" s="50">
        <v>103981</v>
      </c>
      <c r="P10" s="49"/>
      <c r="Q10" s="50">
        <v>150000</v>
      </c>
      <c r="R10" s="50">
        <v>102871</v>
      </c>
      <c r="S10" s="49"/>
      <c r="T10" s="50">
        <v>150000</v>
      </c>
      <c r="U10" s="50">
        <v>111224.45</v>
      </c>
      <c r="V10" s="51"/>
      <c r="W10" s="50"/>
      <c r="X10" s="50">
        <v>103963</v>
      </c>
      <c r="Y10" s="8"/>
      <c r="Z10" s="50"/>
      <c r="AA10" s="50"/>
      <c r="AB10" s="8"/>
      <c r="AC10" s="50"/>
      <c r="AD10" s="50"/>
      <c r="AE10" s="8"/>
      <c r="AF10" s="8"/>
      <c r="AG10" s="8"/>
      <c r="AH10" s="8"/>
      <c r="AI10" s="8"/>
      <c r="AJ10" s="8"/>
      <c r="AK10" s="8"/>
    </row>
    <row r="11" spans="1:37" ht="15" x14ac:dyDescent="0.2">
      <c r="A11" s="16" t="s">
        <v>167</v>
      </c>
      <c r="B11" s="167"/>
      <c r="C11" s="167"/>
      <c r="D11" s="8"/>
      <c r="E11" s="50"/>
      <c r="F11" s="50"/>
      <c r="G11" s="49"/>
      <c r="H11" s="50"/>
      <c r="I11" s="50"/>
      <c r="J11" s="49"/>
      <c r="K11" s="50"/>
      <c r="L11" s="50"/>
      <c r="M11" s="49"/>
      <c r="N11" s="50"/>
      <c r="O11" s="50"/>
      <c r="P11" s="49"/>
      <c r="Q11" s="50"/>
      <c r="R11" s="50"/>
      <c r="S11" s="49"/>
      <c r="T11" s="50">
        <v>53568.57</v>
      </c>
      <c r="U11" s="50">
        <v>53568.57</v>
      </c>
      <c r="V11" s="51"/>
      <c r="W11" s="50"/>
      <c r="X11" s="50">
        <v>33267.5</v>
      </c>
      <c r="Y11" s="8"/>
      <c r="Z11" s="50"/>
      <c r="AA11" s="50"/>
      <c r="AB11" s="8"/>
      <c r="AC11" s="50"/>
      <c r="AD11" s="50"/>
      <c r="AE11" s="8"/>
      <c r="AF11" s="8"/>
      <c r="AG11" s="8"/>
      <c r="AH11" s="8"/>
      <c r="AI11" s="8"/>
      <c r="AJ11" s="8"/>
      <c r="AK11" s="8"/>
    </row>
    <row r="12" spans="1:37" ht="15" x14ac:dyDescent="0.2">
      <c r="A12" s="16" t="s">
        <v>165</v>
      </c>
      <c r="B12" s="167"/>
      <c r="C12" s="167"/>
      <c r="D12" s="8"/>
      <c r="E12" s="50"/>
      <c r="F12" s="50"/>
      <c r="G12" s="49"/>
      <c r="H12" s="50"/>
      <c r="I12" s="50"/>
      <c r="J12" s="49"/>
      <c r="K12" s="50"/>
      <c r="L12" s="50"/>
      <c r="M12" s="49"/>
      <c r="N12" s="50"/>
      <c r="O12" s="50"/>
      <c r="P12" s="49"/>
      <c r="Q12" s="50"/>
      <c r="R12" s="50"/>
      <c r="S12" s="49"/>
      <c r="T12" s="50">
        <v>1800</v>
      </c>
      <c r="U12" s="50">
        <v>1800</v>
      </c>
      <c r="V12" s="51"/>
      <c r="W12" s="50"/>
      <c r="X12" s="50">
        <v>3088</v>
      </c>
      <c r="Y12" s="8"/>
      <c r="Z12" s="50"/>
      <c r="AA12" s="50"/>
      <c r="AB12" s="8"/>
      <c r="AC12" s="50"/>
      <c r="AD12" s="50"/>
      <c r="AE12" s="8"/>
      <c r="AF12" s="8"/>
      <c r="AG12" s="8"/>
      <c r="AH12" s="8"/>
      <c r="AI12" s="8"/>
      <c r="AJ12" s="8"/>
      <c r="AK12" s="8"/>
    </row>
    <row r="13" spans="1:37" ht="15" x14ac:dyDescent="0.2">
      <c r="A13" s="16" t="s">
        <v>166</v>
      </c>
      <c r="B13" s="8"/>
      <c r="C13" s="50"/>
      <c r="D13" s="8"/>
      <c r="E13" s="8"/>
      <c r="F13" s="50"/>
      <c r="G13" s="49"/>
      <c r="H13" s="8"/>
      <c r="I13" s="50">
        <v>78325.2</v>
      </c>
      <c r="J13" s="8"/>
      <c r="K13" s="8">
        <v>300000</v>
      </c>
      <c r="L13" s="50">
        <v>64305.5</v>
      </c>
      <c r="M13" s="8"/>
      <c r="N13" s="8">
        <v>300000</v>
      </c>
      <c r="O13" s="50">
        <v>495332.3</v>
      </c>
      <c r="P13" s="8"/>
      <c r="Q13" s="8">
        <v>300000</v>
      </c>
      <c r="R13" s="50">
        <v>253646</v>
      </c>
      <c r="S13" s="8"/>
      <c r="T13" s="50">
        <v>113808</v>
      </c>
      <c r="U13" s="50">
        <v>113808</v>
      </c>
      <c r="V13" s="36"/>
      <c r="W13" s="8"/>
      <c r="X13" s="50">
        <v>61071.5</v>
      </c>
      <c r="Y13" s="8"/>
      <c r="Z13" s="8"/>
      <c r="AA13" s="50"/>
      <c r="AB13" s="8"/>
      <c r="AC13" s="8"/>
      <c r="AD13" s="50"/>
      <c r="AE13" s="8"/>
      <c r="AF13" s="8"/>
      <c r="AG13" s="8"/>
      <c r="AH13" s="8"/>
      <c r="AI13" s="8"/>
      <c r="AJ13" s="8"/>
      <c r="AK13" s="8"/>
    </row>
    <row r="14" spans="1:37" ht="15" x14ac:dyDescent="0.2">
      <c r="A14" s="16" t="s">
        <v>161</v>
      </c>
      <c r="B14" s="8"/>
      <c r="C14" s="50"/>
      <c r="D14" s="8"/>
      <c r="E14" s="8"/>
      <c r="F14" s="50"/>
      <c r="G14" s="49"/>
      <c r="H14" s="8"/>
      <c r="I14" s="47"/>
      <c r="J14" s="8"/>
      <c r="K14" s="8"/>
      <c r="L14" s="47"/>
      <c r="M14" s="8"/>
      <c r="N14" s="8"/>
      <c r="O14" s="50"/>
      <c r="P14" s="8"/>
      <c r="Q14" s="8"/>
      <c r="R14" s="50">
        <v>39675</v>
      </c>
      <c r="S14" s="8"/>
      <c r="T14" s="47">
        <v>247761.65</v>
      </c>
      <c r="U14" s="47">
        <v>247761.65</v>
      </c>
      <c r="V14" s="36"/>
      <c r="W14" s="8"/>
      <c r="X14" s="50"/>
      <c r="Y14" s="8"/>
      <c r="Z14" s="8"/>
      <c r="AA14" s="50"/>
      <c r="AB14" s="8"/>
      <c r="AC14" s="8"/>
      <c r="AD14" s="50"/>
      <c r="AE14" s="8"/>
      <c r="AF14" s="8"/>
      <c r="AG14" s="8"/>
      <c r="AH14" s="8"/>
      <c r="AI14" s="8"/>
      <c r="AJ14" s="8"/>
      <c r="AK14" s="8"/>
    </row>
    <row r="15" spans="1:37" s="24" customFormat="1" ht="15.75" x14ac:dyDescent="0.25">
      <c r="A15" s="23" t="s">
        <v>53</v>
      </c>
      <c r="B15" s="159">
        <f>SUM(B8:B13)</f>
        <v>300000</v>
      </c>
      <c r="C15" s="159">
        <f>SUM(C8:C13)</f>
        <v>252488.41999999998</v>
      </c>
      <c r="D15" s="159"/>
      <c r="E15" s="159">
        <f t="shared" ref="E15:Q15" si="0">SUM(E8:E13)</f>
        <v>300000</v>
      </c>
      <c r="F15" s="159">
        <f t="shared" si="0"/>
        <v>176762.56</v>
      </c>
      <c r="G15" s="159">
        <f t="shared" si="0"/>
        <v>0</v>
      </c>
      <c r="H15" s="159">
        <f t="shared" si="0"/>
        <v>350000</v>
      </c>
      <c r="I15" s="159">
        <f t="shared" si="0"/>
        <v>238118.83000000002</v>
      </c>
      <c r="J15" s="159">
        <f t="shared" si="0"/>
        <v>0</v>
      </c>
      <c r="K15" s="159">
        <f t="shared" si="0"/>
        <v>565000</v>
      </c>
      <c r="L15" s="168">
        <f t="shared" si="0"/>
        <v>274884.19</v>
      </c>
      <c r="M15" s="159">
        <f t="shared" si="0"/>
        <v>0</v>
      </c>
      <c r="N15" s="159">
        <f t="shared" si="0"/>
        <v>565000</v>
      </c>
      <c r="O15" s="159">
        <f t="shared" si="0"/>
        <v>665783.19999999995</v>
      </c>
      <c r="P15" s="159">
        <f t="shared" si="0"/>
        <v>0</v>
      </c>
      <c r="Q15" s="159">
        <f t="shared" si="0"/>
        <v>565000</v>
      </c>
      <c r="R15" s="159">
        <f>SUM(R8:R14)</f>
        <v>490947.76</v>
      </c>
      <c r="S15" s="159">
        <f t="shared" ref="S15:AK15" si="1">SUM(S8:S13)</f>
        <v>0</v>
      </c>
      <c r="T15" s="159">
        <f t="shared" si="1"/>
        <v>434176.57</v>
      </c>
      <c r="U15" s="159">
        <f t="shared" si="1"/>
        <v>576171.52000000002</v>
      </c>
      <c r="V15" s="159">
        <f t="shared" si="1"/>
        <v>0</v>
      </c>
      <c r="W15" s="159">
        <f t="shared" si="1"/>
        <v>421000</v>
      </c>
      <c r="X15" s="159">
        <f t="shared" si="1"/>
        <v>266440</v>
      </c>
      <c r="Y15" s="159">
        <f t="shared" si="1"/>
        <v>0</v>
      </c>
      <c r="Z15" s="159">
        <f t="shared" si="1"/>
        <v>421000</v>
      </c>
      <c r="AA15" s="159">
        <f t="shared" si="1"/>
        <v>0</v>
      </c>
      <c r="AB15" s="159">
        <f t="shared" si="1"/>
        <v>0</v>
      </c>
      <c r="AC15" s="159">
        <f t="shared" si="1"/>
        <v>421000</v>
      </c>
      <c r="AD15" s="159">
        <f t="shared" si="1"/>
        <v>0</v>
      </c>
      <c r="AE15" s="159">
        <f t="shared" si="1"/>
        <v>0</v>
      </c>
      <c r="AF15" s="159">
        <f t="shared" si="1"/>
        <v>421000</v>
      </c>
      <c r="AG15" s="159">
        <f t="shared" si="1"/>
        <v>0</v>
      </c>
      <c r="AH15" s="159">
        <f t="shared" si="1"/>
        <v>0</v>
      </c>
      <c r="AI15" s="159">
        <f t="shared" si="1"/>
        <v>421000</v>
      </c>
      <c r="AJ15" s="159">
        <f t="shared" si="1"/>
        <v>0</v>
      </c>
      <c r="AK15" s="159">
        <f t="shared" si="1"/>
        <v>0</v>
      </c>
    </row>
    <row r="16" spans="1:37" ht="14.25" customHeight="1" x14ac:dyDescent="0.2">
      <c r="A16" s="17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37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5" x14ac:dyDescent="0.25">
      <c r="A17" s="150" t="s">
        <v>117</v>
      </c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2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</row>
    <row r="18" spans="1:37" x14ac:dyDescent="0.2">
      <c r="A18" s="3" t="s">
        <v>163</v>
      </c>
      <c r="B18" s="4">
        <v>150000</v>
      </c>
      <c r="C18" s="4"/>
      <c r="D18" s="4"/>
      <c r="E18" s="4">
        <v>163012.49</v>
      </c>
      <c r="F18" s="4">
        <v>163012.49</v>
      </c>
      <c r="G18" s="4"/>
      <c r="H18" s="4">
        <v>150000</v>
      </c>
      <c r="I18" s="4">
        <v>112371.23</v>
      </c>
      <c r="J18" s="4"/>
      <c r="K18" s="4">
        <v>150000</v>
      </c>
      <c r="L18" s="4">
        <v>108109.1</v>
      </c>
      <c r="M18" s="4"/>
      <c r="N18" s="4">
        <v>150000</v>
      </c>
      <c r="O18" s="4">
        <v>282407.95</v>
      </c>
      <c r="P18" s="4"/>
      <c r="Q18" s="4">
        <v>150000</v>
      </c>
      <c r="R18" s="4">
        <v>141027.37</v>
      </c>
      <c r="S18" s="4"/>
      <c r="T18" s="4">
        <v>150000</v>
      </c>
      <c r="U18" s="4">
        <v>207321.94</v>
      </c>
      <c r="V18" s="38"/>
      <c r="W18" s="4"/>
      <c r="X18" s="4">
        <v>244438.79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 x14ac:dyDescent="0.2">
      <c r="A19" s="3" t="s">
        <v>162</v>
      </c>
      <c r="B19" s="4">
        <v>50000</v>
      </c>
      <c r="C19" s="4">
        <v>60299</v>
      </c>
      <c r="D19" s="4"/>
      <c r="E19" s="4">
        <v>50000</v>
      </c>
      <c r="F19" s="4">
        <v>37700</v>
      </c>
      <c r="G19" s="4"/>
      <c r="H19" s="4">
        <v>50000</v>
      </c>
      <c r="I19" s="4">
        <v>43490</v>
      </c>
      <c r="J19" s="4"/>
      <c r="K19" s="4">
        <v>50000</v>
      </c>
      <c r="L19" s="4">
        <v>13026</v>
      </c>
      <c r="M19" s="4"/>
      <c r="N19" s="4">
        <v>50000</v>
      </c>
      <c r="O19" s="4">
        <v>44614</v>
      </c>
      <c r="P19" s="4"/>
      <c r="Q19" s="4">
        <v>50000</v>
      </c>
      <c r="R19" s="4">
        <v>51099</v>
      </c>
      <c r="S19" s="4"/>
      <c r="T19" s="4">
        <v>50000</v>
      </c>
      <c r="U19" s="4">
        <v>43557</v>
      </c>
      <c r="V19" s="38"/>
      <c r="W19" s="4"/>
      <c r="X19" s="4">
        <v>60718.1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 x14ac:dyDescent="0.2">
      <c r="A20" s="3" t="s">
        <v>153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>
        <v>2754.07</v>
      </c>
      <c r="S20" s="4"/>
      <c r="T20" s="4">
        <v>500</v>
      </c>
      <c r="U20" s="4">
        <v>368.81</v>
      </c>
      <c r="V20" s="38"/>
      <c r="W20" s="4"/>
      <c r="X20" s="4">
        <v>200.1</v>
      </c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 x14ac:dyDescent="0.2">
      <c r="A21" s="3" t="s">
        <v>150</v>
      </c>
      <c r="B21" s="4"/>
      <c r="C21" s="4"/>
      <c r="D21" s="4"/>
      <c r="E21" s="4"/>
      <c r="F21" s="4"/>
      <c r="G21" s="4"/>
      <c r="H21" s="4"/>
      <c r="I21" s="4"/>
      <c r="J21" s="4"/>
      <c r="K21" s="4">
        <v>520</v>
      </c>
      <c r="L21" s="4">
        <v>520</v>
      </c>
      <c r="M21" s="4"/>
      <c r="N21" s="4">
        <v>520</v>
      </c>
      <c r="O21" s="4">
        <v>520</v>
      </c>
      <c r="P21" s="4"/>
      <c r="Q21" s="4"/>
      <c r="R21" s="4"/>
      <c r="S21" s="4"/>
      <c r="T21" s="4"/>
      <c r="U21" s="4"/>
      <c r="V21" s="38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 x14ac:dyDescent="0.2">
      <c r="A22" s="3" t="s">
        <v>148</v>
      </c>
      <c r="B22" s="4">
        <v>1446.17</v>
      </c>
      <c r="C22" s="4">
        <v>1446.17</v>
      </c>
      <c r="D22" s="4"/>
      <c r="E22" s="4">
        <v>2099.6799999999998</v>
      </c>
      <c r="F22" s="4">
        <v>2099.6799999999998</v>
      </c>
      <c r="G22" s="4"/>
      <c r="H22" s="4">
        <v>2000</v>
      </c>
      <c r="I22" s="4"/>
      <c r="J22" s="4"/>
      <c r="K22" s="4">
        <v>2000</v>
      </c>
      <c r="L22" s="4"/>
      <c r="M22" s="4"/>
      <c r="N22" s="4">
        <v>2000</v>
      </c>
      <c r="O22" s="4"/>
      <c r="P22" s="4"/>
      <c r="Q22" s="4">
        <v>2000</v>
      </c>
      <c r="R22" s="4">
        <v>259.02</v>
      </c>
      <c r="S22" s="4"/>
      <c r="T22" s="4">
        <v>2000</v>
      </c>
      <c r="U22" s="4">
        <v>792.88</v>
      </c>
      <c r="V22" s="38"/>
      <c r="W22" s="4">
        <v>2000</v>
      </c>
      <c r="X22" s="4">
        <v>1655.86</v>
      </c>
      <c r="Y22" s="4"/>
      <c r="Z22" s="4">
        <v>2000</v>
      </c>
      <c r="AA22" s="4"/>
      <c r="AB22" s="4"/>
      <c r="AC22" s="4">
        <v>2000</v>
      </c>
      <c r="AD22" s="4"/>
      <c r="AE22" s="4"/>
      <c r="AF22" s="4">
        <v>2000</v>
      </c>
      <c r="AG22" s="4"/>
      <c r="AH22" s="4"/>
      <c r="AI22" s="4">
        <v>2000</v>
      </c>
      <c r="AJ22" s="4"/>
      <c r="AK22" s="4"/>
    </row>
    <row r="23" spans="1:37" x14ac:dyDescent="0.2">
      <c r="A23" s="3" t="s">
        <v>121</v>
      </c>
      <c r="B23" s="4">
        <v>200</v>
      </c>
      <c r="C23" s="4"/>
      <c r="D23" s="4"/>
      <c r="E23" s="4">
        <v>200</v>
      </c>
      <c r="F23" s="4">
        <v>300</v>
      </c>
      <c r="G23" s="4"/>
      <c r="H23" s="4">
        <v>200</v>
      </c>
      <c r="I23" s="4"/>
      <c r="J23" s="4"/>
      <c r="K23" s="4">
        <v>200</v>
      </c>
      <c r="L23" s="4">
        <v>300</v>
      </c>
      <c r="M23" s="4"/>
      <c r="N23" s="4">
        <v>200</v>
      </c>
      <c r="O23" s="4">
        <v>300</v>
      </c>
      <c r="P23" s="4"/>
      <c r="Q23" s="4">
        <v>200</v>
      </c>
      <c r="R23" s="4">
        <v>700</v>
      </c>
      <c r="S23" s="4"/>
      <c r="T23" s="4">
        <v>200</v>
      </c>
      <c r="U23" s="4"/>
      <c r="V23" s="38"/>
      <c r="W23" s="4">
        <v>200</v>
      </c>
      <c r="X23" s="4">
        <v>400</v>
      </c>
      <c r="Y23" s="4"/>
      <c r="Z23" s="4">
        <v>200</v>
      </c>
      <c r="AA23" s="4">
        <v>400</v>
      </c>
      <c r="AB23" s="4"/>
      <c r="AC23" s="4">
        <v>200</v>
      </c>
      <c r="AD23" s="4"/>
      <c r="AE23" s="4"/>
      <c r="AF23" s="4">
        <v>200</v>
      </c>
      <c r="AG23" s="4"/>
      <c r="AH23" s="4"/>
      <c r="AI23" s="4">
        <v>200</v>
      </c>
      <c r="AJ23" s="4"/>
      <c r="AK23" s="4"/>
    </row>
    <row r="24" spans="1:37" ht="15" x14ac:dyDescent="0.2">
      <c r="A24" s="17" t="s">
        <v>73</v>
      </c>
      <c r="B24" s="4">
        <v>170</v>
      </c>
      <c r="C24" s="4">
        <v>170</v>
      </c>
      <c r="D24" s="4"/>
      <c r="E24" s="4">
        <v>100</v>
      </c>
      <c r="F24" s="4"/>
      <c r="G24" s="4"/>
      <c r="H24" s="4">
        <v>100</v>
      </c>
      <c r="I24" s="4"/>
      <c r="J24" s="4"/>
      <c r="K24" s="4">
        <v>100</v>
      </c>
      <c r="L24" s="4"/>
      <c r="M24" s="4"/>
      <c r="N24" s="4">
        <v>100</v>
      </c>
      <c r="O24" s="4"/>
      <c r="P24" s="4"/>
      <c r="Q24" s="4">
        <v>100</v>
      </c>
      <c r="R24" s="4"/>
      <c r="S24" s="4"/>
      <c r="T24" s="4">
        <v>100</v>
      </c>
      <c r="U24" s="4"/>
      <c r="V24" s="38"/>
      <c r="W24" s="4">
        <v>100</v>
      </c>
      <c r="X24" s="4"/>
      <c r="Y24" s="4"/>
      <c r="Z24" s="4">
        <v>100</v>
      </c>
      <c r="AA24" s="4"/>
      <c r="AB24" s="4"/>
      <c r="AC24" s="4">
        <v>100</v>
      </c>
      <c r="AD24" s="4"/>
      <c r="AE24" s="4"/>
      <c r="AF24" s="4">
        <v>100</v>
      </c>
      <c r="AG24" s="4"/>
      <c r="AH24" s="4"/>
      <c r="AI24" s="4">
        <v>100</v>
      </c>
      <c r="AJ24" s="4"/>
      <c r="AK24" s="4">
        <v>0</v>
      </c>
    </row>
    <row r="25" spans="1:37" ht="15" x14ac:dyDescent="0.2">
      <c r="A25" s="17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38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 x14ac:dyDescent="0.2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38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 ht="15" x14ac:dyDescent="0.25">
      <c r="A27" s="153" t="s">
        <v>119</v>
      </c>
      <c r="B27" s="9">
        <f t="shared" ref="B27:AK27" si="2">B18+B19+B20+B21+B22+B23+B26</f>
        <v>201646.17</v>
      </c>
      <c r="C27" s="9">
        <f t="shared" si="2"/>
        <v>61745.17</v>
      </c>
      <c r="D27" s="9">
        <f t="shared" si="2"/>
        <v>0</v>
      </c>
      <c r="E27" s="9">
        <f t="shared" si="2"/>
        <v>215312.16999999998</v>
      </c>
      <c r="F27" s="9">
        <f t="shared" si="2"/>
        <v>203112.16999999998</v>
      </c>
      <c r="G27" s="9">
        <f t="shared" si="2"/>
        <v>0</v>
      </c>
      <c r="H27" s="9">
        <f t="shared" si="2"/>
        <v>202200</v>
      </c>
      <c r="I27" s="9">
        <f t="shared" si="2"/>
        <v>155861.22999999998</v>
      </c>
      <c r="J27" s="9">
        <f t="shared" si="2"/>
        <v>0</v>
      </c>
      <c r="K27" s="9">
        <f t="shared" si="2"/>
        <v>202720</v>
      </c>
      <c r="L27" s="9">
        <f t="shared" si="2"/>
        <v>121955.1</v>
      </c>
      <c r="M27" s="9">
        <f t="shared" si="2"/>
        <v>0</v>
      </c>
      <c r="N27" s="9">
        <f t="shared" si="2"/>
        <v>202720</v>
      </c>
      <c r="O27" s="9">
        <f t="shared" si="2"/>
        <v>327841.95</v>
      </c>
      <c r="P27" s="9">
        <f t="shared" si="2"/>
        <v>0</v>
      </c>
      <c r="Q27" s="9">
        <f t="shared" si="2"/>
        <v>202200</v>
      </c>
      <c r="R27" s="9">
        <f t="shared" si="2"/>
        <v>195839.46</v>
      </c>
      <c r="S27" s="9">
        <f t="shared" si="2"/>
        <v>0</v>
      </c>
      <c r="T27" s="9">
        <f t="shared" si="2"/>
        <v>202700</v>
      </c>
      <c r="U27" s="9">
        <f t="shared" si="2"/>
        <v>252040.63</v>
      </c>
      <c r="V27" s="9">
        <f t="shared" si="2"/>
        <v>0</v>
      </c>
      <c r="W27" s="9">
        <f t="shared" si="2"/>
        <v>2200</v>
      </c>
      <c r="X27" s="9">
        <f t="shared" si="2"/>
        <v>307412.84999999998</v>
      </c>
      <c r="Y27" s="9">
        <f t="shared" si="2"/>
        <v>0</v>
      </c>
      <c r="Z27" s="9">
        <f t="shared" si="2"/>
        <v>2200</v>
      </c>
      <c r="AA27" s="9">
        <f t="shared" si="2"/>
        <v>400</v>
      </c>
      <c r="AB27" s="9">
        <f t="shared" si="2"/>
        <v>0</v>
      </c>
      <c r="AC27" s="9">
        <f t="shared" si="2"/>
        <v>2200</v>
      </c>
      <c r="AD27" s="9">
        <f t="shared" si="2"/>
        <v>0</v>
      </c>
      <c r="AE27" s="9">
        <f t="shared" si="2"/>
        <v>0</v>
      </c>
      <c r="AF27" s="9">
        <f t="shared" si="2"/>
        <v>2200</v>
      </c>
      <c r="AG27" s="9">
        <f t="shared" si="2"/>
        <v>0</v>
      </c>
      <c r="AH27" s="9">
        <f t="shared" si="2"/>
        <v>0</v>
      </c>
      <c r="AI27" s="9">
        <f t="shared" si="2"/>
        <v>2200</v>
      </c>
      <c r="AJ27" s="9">
        <f t="shared" si="2"/>
        <v>0</v>
      </c>
      <c r="AK27" s="9">
        <f t="shared" si="2"/>
        <v>0</v>
      </c>
    </row>
    <row r="28" spans="1:37" s="60" customFormat="1" ht="24.75" customHeight="1" x14ac:dyDescent="0.25">
      <c r="A28" s="154" t="s">
        <v>120</v>
      </c>
      <c r="B28" s="155">
        <f t="shared" ref="B28:AK28" si="3">B27/B15</f>
        <v>0.67215390000000008</v>
      </c>
      <c r="C28" s="155">
        <f t="shared" si="3"/>
        <v>0.24454654197606371</v>
      </c>
      <c r="D28" s="155" t="e">
        <f t="shared" si="3"/>
        <v>#DIV/0!</v>
      </c>
      <c r="E28" s="155">
        <f t="shared" si="3"/>
        <v>0.71770723333333331</v>
      </c>
      <c r="F28" s="155">
        <f t="shared" si="3"/>
        <v>1.1490678229597941</v>
      </c>
      <c r="G28" s="155" t="e">
        <f t="shared" si="3"/>
        <v>#DIV/0!</v>
      </c>
      <c r="H28" s="155">
        <f t="shared" si="3"/>
        <v>0.57771428571428574</v>
      </c>
      <c r="I28" s="155">
        <f t="shared" si="3"/>
        <v>0.65455230902990735</v>
      </c>
      <c r="J28" s="155" t="e">
        <f t="shared" si="3"/>
        <v>#DIV/0!</v>
      </c>
      <c r="K28" s="155">
        <f t="shared" si="3"/>
        <v>0.35879646017699113</v>
      </c>
      <c r="L28" s="155">
        <f t="shared" si="3"/>
        <v>0.44365992820467415</v>
      </c>
      <c r="M28" s="155" t="e">
        <f t="shared" si="3"/>
        <v>#DIV/0!</v>
      </c>
      <c r="N28" s="155">
        <f t="shared" si="3"/>
        <v>0.35879646017699113</v>
      </c>
      <c r="O28" s="155">
        <f t="shared" si="3"/>
        <v>0.49241547398612645</v>
      </c>
      <c r="P28" s="155" t="e">
        <f t="shared" si="3"/>
        <v>#DIV/0!</v>
      </c>
      <c r="Q28" s="155">
        <f t="shared" si="3"/>
        <v>0.35787610619469029</v>
      </c>
      <c r="R28" s="155">
        <f t="shared" si="3"/>
        <v>0.39890081176864928</v>
      </c>
      <c r="S28" s="155" t="e">
        <f t="shared" si="3"/>
        <v>#DIV/0!</v>
      </c>
      <c r="T28" s="155">
        <f t="shared" si="3"/>
        <v>0.46686075206683769</v>
      </c>
      <c r="U28" s="155">
        <f t="shared" si="3"/>
        <v>0.43744027820049142</v>
      </c>
      <c r="V28" s="155" t="e">
        <f t="shared" si="3"/>
        <v>#DIV/0!</v>
      </c>
      <c r="W28" s="155">
        <f t="shared" si="3"/>
        <v>5.2256532066508312E-3</v>
      </c>
      <c r="X28" s="155">
        <f t="shared" si="3"/>
        <v>1.1537788995646299</v>
      </c>
      <c r="Y28" s="155" t="e">
        <f t="shared" si="3"/>
        <v>#DIV/0!</v>
      </c>
      <c r="Z28" s="155">
        <f t="shared" si="3"/>
        <v>5.2256532066508312E-3</v>
      </c>
      <c r="AA28" s="155" t="e">
        <f t="shared" si="3"/>
        <v>#DIV/0!</v>
      </c>
      <c r="AB28" s="155" t="e">
        <f t="shared" si="3"/>
        <v>#DIV/0!</v>
      </c>
      <c r="AC28" s="155">
        <f t="shared" si="3"/>
        <v>5.2256532066508312E-3</v>
      </c>
      <c r="AD28" s="155" t="e">
        <f t="shared" si="3"/>
        <v>#DIV/0!</v>
      </c>
      <c r="AE28" s="155" t="e">
        <f t="shared" si="3"/>
        <v>#DIV/0!</v>
      </c>
      <c r="AF28" s="155">
        <f t="shared" si="3"/>
        <v>5.2256532066508312E-3</v>
      </c>
      <c r="AG28" s="155" t="e">
        <f t="shared" si="3"/>
        <v>#DIV/0!</v>
      </c>
      <c r="AH28" s="155" t="e">
        <f t="shared" si="3"/>
        <v>#DIV/0!</v>
      </c>
      <c r="AI28" s="155">
        <f t="shared" si="3"/>
        <v>5.2256532066508312E-3</v>
      </c>
      <c r="AJ28" s="155" t="e">
        <f t="shared" si="3"/>
        <v>#DIV/0!</v>
      </c>
      <c r="AK28" s="155" t="e">
        <f t="shared" si="3"/>
        <v>#DIV/0!</v>
      </c>
    </row>
    <row r="29" spans="1:37" ht="15" x14ac:dyDescent="0.2">
      <c r="A29" s="17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37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5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 ht="15" x14ac:dyDescent="0.25">
      <c r="A31" s="10" t="s">
        <v>76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40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spans="1:37" ht="15" x14ac:dyDescent="0.2">
      <c r="A32" s="13" t="s">
        <v>132</v>
      </c>
      <c r="B32" s="4">
        <v>50</v>
      </c>
      <c r="C32" s="4">
        <v>40.94</v>
      </c>
      <c r="D32" s="4"/>
      <c r="E32" s="4">
        <v>50</v>
      </c>
      <c r="F32" s="4">
        <v>39.549999999999997</v>
      </c>
      <c r="G32" s="4"/>
      <c r="H32" s="4">
        <v>50</v>
      </c>
      <c r="I32" s="4">
        <v>39.549999999999997</v>
      </c>
      <c r="J32" s="4"/>
      <c r="K32" s="4">
        <v>50</v>
      </c>
      <c r="L32" s="4">
        <v>39.549999999999997</v>
      </c>
      <c r="M32" s="4"/>
      <c r="N32" s="4">
        <v>50</v>
      </c>
      <c r="O32" s="4">
        <v>39.549999999999997</v>
      </c>
      <c r="P32" s="4"/>
      <c r="Q32" s="4">
        <v>50</v>
      </c>
      <c r="R32" s="4">
        <v>119.88</v>
      </c>
      <c r="S32" s="4"/>
      <c r="T32" s="4">
        <v>50</v>
      </c>
      <c r="U32" s="4">
        <v>145.32</v>
      </c>
      <c r="V32" s="38"/>
      <c r="W32" s="4">
        <v>50</v>
      </c>
      <c r="X32" s="4">
        <v>103.14</v>
      </c>
      <c r="Y32" s="4"/>
      <c r="Z32" s="4">
        <v>50</v>
      </c>
      <c r="AA32" s="4"/>
      <c r="AB32" s="4"/>
      <c r="AC32" s="4">
        <v>50</v>
      </c>
      <c r="AD32" s="4"/>
      <c r="AE32" s="4"/>
      <c r="AF32" s="4">
        <v>50</v>
      </c>
      <c r="AG32" s="4"/>
      <c r="AH32" s="4"/>
      <c r="AI32" s="4">
        <v>50</v>
      </c>
      <c r="AJ32" s="4"/>
      <c r="AK32" s="4">
        <v>0</v>
      </c>
    </row>
    <row r="33" spans="1:37" ht="15" x14ac:dyDescent="0.2">
      <c r="A33" s="13" t="s">
        <v>134</v>
      </c>
      <c r="B33" s="4">
        <v>400</v>
      </c>
      <c r="C33" s="4">
        <v>125.5</v>
      </c>
      <c r="D33" s="4"/>
      <c r="E33" s="4">
        <v>400</v>
      </c>
      <c r="F33" s="4">
        <v>152.5</v>
      </c>
      <c r="G33" s="4"/>
      <c r="H33" s="4">
        <v>400</v>
      </c>
      <c r="I33" s="4">
        <v>237.5</v>
      </c>
      <c r="J33" s="4"/>
      <c r="K33" s="4">
        <v>400</v>
      </c>
      <c r="L33" s="4">
        <v>939.21</v>
      </c>
      <c r="M33" s="4"/>
      <c r="N33" s="4">
        <v>400</v>
      </c>
      <c r="O33" s="4">
        <v>763.01</v>
      </c>
      <c r="P33" s="4"/>
      <c r="Q33" s="4">
        <v>400</v>
      </c>
      <c r="R33" s="4">
        <v>421.13</v>
      </c>
      <c r="S33" s="4"/>
      <c r="T33" s="4">
        <v>400</v>
      </c>
      <c r="U33" s="4">
        <v>439.01</v>
      </c>
      <c r="V33" s="38"/>
      <c r="W33" s="4">
        <v>400</v>
      </c>
      <c r="X33" s="4">
        <v>625.84</v>
      </c>
      <c r="Y33" s="4"/>
      <c r="Z33" s="4">
        <v>400</v>
      </c>
      <c r="AA33" s="4"/>
      <c r="AB33" s="4"/>
      <c r="AC33" s="4">
        <v>400</v>
      </c>
      <c r="AD33" s="4"/>
      <c r="AE33" s="4"/>
      <c r="AF33" s="4">
        <v>400</v>
      </c>
      <c r="AG33" s="4"/>
      <c r="AH33" s="4"/>
      <c r="AI33" s="4">
        <v>400</v>
      </c>
      <c r="AJ33" s="4"/>
      <c r="AK33" s="4">
        <v>0</v>
      </c>
    </row>
    <row r="34" spans="1:37" ht="15" x14ac:dyDescent="0.2">
      <c r="A34" s="13" t="s">
        <v>77</v>
      </c>
      <c r="B34" s="4">
        <v>3555.54</v>
      </c>
      <c r="C34" s="4">
        <v>3200</v>
      </c>
      <c r="D34" s="4"/>
      <c r="E34" s="4">
        <v>3555.54</v>
      </c>
      <c r="F34" s="4">
        <v>3200</v>
      </c>
      <c r="G34" s="4"/>
      <c r="H34" s="4">
        <v>3555.54</v>
      </c>
      <c r="I34" s="4">
        <v>3200</v>
      </c>
      <c r="J34" s="4"/>
      <c r="K34" s="4">
        <v>3555.54</v>
      </c>
      <c r="L34" s="4">
        <v>3200</v>
      </c>
      <c r="M34" s="4"/>
      <c r="N34" s="4">
        <v>3555.54</v>
      </c>
      <c r="O34" s="4">
        <v>3200</v>
      </c>
      <c r="P34" s="4"/>
      <c r="Q34" s="4">
        <v>3555.54</v>
      </c>
      <c r="R34" s="4">
        <v>3200</v>
      </c>
      <c r="S34" s="4"/>
      <c r="T34" s="4">
        <v>3555.54</v>
      </c>
      <c r="U34" s="4">
        <v>3200</v>
      </c>
      <c r="V34" s="38"/>
      <c r="W34" s="4">
        <v>3777.78</v>
      </c>
      <c r="X34" s="4">
        <v>3400</v>
      </c>
      <c r="Y34" s="4"/>
      <c r="Z34" s="4">
        <v>3777.78</v>
      </c>
      <c r="AA34" s="4">
        <v>3400</v>
      </c>
      <c r="AB34" s="4"/>
      <c r="AC34" s="4">
        <v>3777.78</v>
      </c>
      <c r="AD34" s="4"/>
      <c r="AE34" s="4"/>
      <c r="AF34" s="4">
        <v>3777.78</v>
      </c>
      <c r="AG34" s="4"/>
      <c r="AH34" s="4"/>
      <c r="AI34" s="4">
        <v>3777.78</v>
      </c>
      <c r="AJ34" s="4"/>
      <c r="AK34" s="4">
        <v>0</v>
      </c>
    </row>
    <row r="35" spans="1:37" ht="15" x14ac:dyDescent="0.2">
      <c r="A35" s="13" t="s">
        <v>40</v>
      </c>
      <c r="B35" s="4">
        <v>900</v>
      </c>
      <c r="C35" s="4">
        <v>664.96</v>
      </c>
      <c r="D35" s="4"/>
      <c r="E35" s="4">
        <v>900</v>
      </c>
      <c r="F35" s="4">
        <v>789.13</v>
      </c>
      <c r="G35" s="4"/>
      <c r="H35" s="4">
        <v>900</v>
      </c>
      <c r="I35" s="4">
        <v>804.81</v>
      </c>
      <c r="J35" s="4"/>
      <c r="K35" s="4">
        <v>900</v>
      </c>
      <c r="L35" s="4">
        <v>804.81</v>
      </c>
      <c r="M35" s="4"/>
      <c r="N35" s="4">
        <v>900</v>
      </c>
      <c r="O35" s="4">
        <v>814.48</v>
      </c>
      <c r="P35" s="4"/>
      <c r="Q35" s="4">
        <v>900</v>
      </c>
      <c r="R35" s="4">
        <v>900.85</v>
      </c>
      <c r="S35" s="4"/>
      <c r="T35" s="4">
        <v>900</v>
      </c>
      <c r="U35" s="4">
        <v>810</v>
      </c>
      <c r="V35" s="38"/>
      <c r="W35" s="4">
        <v>900</v>
      </c>
      <c r="X35" s="4"/>
      <c r="Y35" s="4"/>
      <c r="Z35" s="4">
        <v>900</v>
      </c>
      <c r="AA35" s="4"/>
      <c r="AB35" s="4"/>
      <c r="AC35" s="4">
        <v>900</v>
      </c>
      <c r="AD35" s="4"/>
      <c r="AE35" s="4"/>
      <c r="AF35" s="4">
        <v>900</v>
      </c>
      <c r="AG35" s="4"/>
      <c r="AH35" s="4"/>
      <c r="AI35" s="4">
        <v>900</v>
      </c>
      <c r="AJ35" s="4"/>
      <c r="AK35" s="4">
        <v>0</v>
      </c>
    </row>
    <row r="36" spans="1:37" ht="15" x14ac:dyDescent="0.2">
      <c r="A36" s="13" t="s">
        <v>9</v>
      </c>
      <c r="B36" s="4">
        <v>13000</v>
      </c>
      <c r="C36" s="4">
        <v>11481.4</v>
      </c>
      <c r="D36" s="4"/>
      <c r="E36" s="4">
        <v>13000</v>
      </c>
      <c r="F36" s="4">
        <v>8560.9599999999991</v>
      </c>
      <c r="G36" s="4"/>
      <c r="H36" s="4">
        <v>13000</v>
      </c>
      <c r="I36" s="4">
        <v>7600.42</v>
      </c>
      <c r="J36" s="4"/>
      <c r="K36" s="4">
        <v>13000</v>
      </c>
      <c r="L36" s="4">
        <v>9943.34</v>
      </c>
      <c r="M36" s="4"/>
      <c r="N36" s="4">
        <v>13000</v>
      </c>
      <c r="O36" s="4">
        <v>10733.45</v>
      </c>
      <c r="P36" s="4"/>
      <c r="Q36" s="4">
        <v>13000</v>
      </c>
      <c r="R36" s="4">
        <v>8841.66</v>
      </c>
      <c r="S36" s="4"/>
      <c r="T36" s="4">
        <v>13000</v>
      </c>
      <c r="U36" s="4">
        <v>8841.66</v>
      </c>
      <c r="V36" s="38"/>
      <c r="W36" s="4">
        <v>13000</v>
      </c>
      <c r="X36" s="4">
        <v>8841.66</v>
      </c>
      <c r="Y36" s="4"/>
      <c r="Z36" s="4">
        <v>13000</v>
      </c>
      <c r="AA36" s="4"/>
      <c r="AB36" s="4"/>
      <c r="AC36" s="4">
        <v>13000</v>
      </c>
      <c r="AD36" s="4"/>
      <c r="AE36" s="4"/>
      <c r="AF36" s="4">
        <v>13000</v>
      </c>
      <c r="AG36" s="4"/>
      <c r="AH36" s="4"/>
      <c r="AI36" s="4">
        <v>13000</v>
      </c>
      <c r="AJ36" s="4"/>
      <c r="AK36" s="4">
        <v>0</v>
      </c>
    </row>
    <row r="37" spans="1:37" ht="15" x14ac:dyDescent="0.2">
      <c r="A37" s="13" t="s">
        <v>110</v>
      </c>
      <c r="B37" s="4"/>
      <c r="C37" s="4"/>
      <c r="D37" s="4"/>
      <c r="E37" s="4">
        <v>150</v>
      </c>
      <c r="F37" s="4">
        <v>150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38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>
        <v>0</v>
      </c>
    </row>
    <row r="38" spans="1:37" ht="15" x14ac:dyDescent="0.2">
      <c r="A38" s="13" t="s">
        <v>0</v>
      </c>
      <c r="B38" s="4">
        <v>800</v>
      </c>
      <c r="C38" s="4">
        <v>530.16</v>
      </c>
      <c r="D38" s="4"/>
      <c r="E38" s="4">
        <v>800</v>
      </c>
      <c r="F38" s="4">
        <v>658.16</v>
      </c>
      <c r="G38" s="4"/>
      <c r="H38" s="4">
        <v>800</v>
      </c>
      <c r="I38" s="4">
        <v>658.16</v>
      </c>
      <c r="J38" s="4"/>
      <c r="K38" s="4">
        <v>800</v>
      </c>
      <c r="L38" s="4">
        <v>658.16</v>
      </c>
      <c r="M38" s="4"/>
      <c r="N38" s="4">
        <v>800</v>
      </c>
      <c r="O38" s="4">
        <v>1285.58</v>
      </c>
      <c r="P38" s="4"/>
      <c r="Q38" s="4">
        <v>800</v>
      </c>
      <c r="R38" s="4">
        <v>767.28</v>
      </c>
      <c r="S38" s="4"/>
      <c r="T38" s="4">
        <v>800</v>
      </c>
      <c r="U38" s="4"/>
      <c r="V38" s="38"/>
      <c r="W38" s="4">
        <v>800</v>
      </c>
      <c r="X38" s="4">
        <v>767.28</v>
      </c>
      <c r="Y38" s="4"/>
      <c r="Z38" s="4">
        <v>800</v>
      </c>
      <c r="AA38" s="4"/>
      <c r="AB38" s="4"/>
      <c r="AC38" s="4">
        <v>800</v>
      </c>
      <c r="AD38" s="4"/>
      <c r="AE38" s="4"/>
      <c r="AF38" s="4">
        <v>800</v>
      </c>
      <c r="AG38" s="4"/>
      <c r="AH38" s="4"/>
      <c r="AI38" s="4">
        <v>800</v>
      </c>
      <c r="AJ38" s="4"/>
      <c r="AK38" s="4">
        <v>0</v>
      </c>
    </row>
    <row r="39" spans="1:37" ht="15" x14ac:dyDescent="0.2">
      <c r="A39" s="13" t="s">
        <v>29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38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>
        <v>0</v>
      </c>
    </row>
    <row r="40" spans="1:37" ht="15" x14ac:dyDescent="0.2">
      <c r="A40" s="13" t="s">
        <v>151</v>
      </c>
      <c r="B40" s="4"/>
      <c r="C40" s="4"/>
      <c r="D40" s="4"/>
      <c r="E40" s="4"/>
      <c r="F40" s="4"/>
      <c r="G40" s="4"/>
      <c r="H40" s="4">
        <v>600</v>
      </c>
      <c r="I40" s="4">
        <v>600</v>
      </c>
      <c r="J40" s="4"/>
      <c r="K40" s="156">
        <v>600</v>
      </c>
      <c r="L40" s="156">
        <v>1300</v>
      </c>
      <c r="M40" s="4"/>
      <c r="N40" s="4">
        <v>1300</v>
      </c>
      <c r="O40" s="4">
        <v>1500</v>
      </c>
      <c r="P40" s="4"/>
      <c r="Q40" s="4">
        <v>1500</v>
      </c>
      <c r="R40" s="4">
        <v>1400</v>
      </c>
      <c r="S40" s="4"/>
      <c r="T40" s="4">
        <v>1500</v>
      </c>
      <c r="U40" s="4">
        <v>1400</v>
      </c>
      <c r="V40" s="38"/>
      <c r="W40" s="4">
        <v>1400</v>
      </c>
      <c r="X40" s="4">
        <v>1200</v>
      </c>
      <c r="Y40" s="4"/>
      <c r="Z40" s="4">
        <v>1400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 ht="15" x14ac:dyDescent="0.2">
      <c r="A41" s="17" t="s">
        <v>139</v>
      </c>
      <c r="B41" s="4">
        <v>3587.1</v>
      </c>
      <c r="C41" s="4">
        <v>3587.1</v>
      </c>
      <c r="D41" s="4"/>
      <c r="E41" s="4">
        <v>3587.1</v>
      </c>
      <c r="F41" s="4">
        <v>3587.1</v>
      </c>
      <c r="G41" s="4"/>
      <c r="H41" s="4">
        <v>3587.1</v>
      </c>
      <c r="I41" s="4">
        <v>3587.1</v>
      </c>
      <c r="J41" s="4"/>
      <c r="K41" s="4">
        <v>3587.1</v>
      </c>
      <c r="L41" s="4">
        <v>3587.1</v>
      </c>
      <c r="M41" s="4"/>
      <c r="N41" s="4">
        <v>3587.1</v>
      </c>
      <c r="O41" s="4">
        <v>3587.1</v>
      </c>
      <c r="P41" s="4"/>
      <c r="Q41" s="4">
        <v>3587.1</v>
      </c>
      <c r="R41" s="4">
        <v>3587.1</v>
      </c>
      <c r="S41" s="4"/>
      <c r="T41" s="4">
        <v>3587.1</v>
      </c>
      <c r="U41" s="4">
        <v>3587.1</v>
      </c>
      <c r="V41" s="38"/>
      <c r="W41" s="4">
        <v>3587.1</v>
      </c>
      <c r="X41" s="4">
        <v>3587.1</v>
      </c>
      <c r="Y41" s="4"/>
      <c r="Z41" s="4">
        <v>3587.1</v>
      </c>
      <c r="AA41" s="4">
        <v>3668.76</v>
      </c>
      <c r="AB41" s="4"/>
      <c r="AC41" s="4">
        <v>3587.1</v>
      </c>
      <c r="AD41" s="4"/>
      <c r="AE41" s="4"/>
      <c r="AF41" s="4">
        <v>3587.1</v>
      </c>
      <c r="AG41" s="4"/>
      <c r="AH41" s="4"/>
      <c r="AI41" s="4">
        <v>3587.1</v>
      </c>
      <c r="AJ41" s="4"/>
      <c r="AK41" s="4">
        <v>0</v>
      </c>
    </row>
    <row r="42" spans="1:37" ht="15" x14ac:dyDescent="0.2">
      <c r="A42" s="17" t="s">
        <v>140</v>
      </c>
      <c r="B42" s="4">
        <v>363.36</v>
      </c>
      <c r="C42" s="4">
        <v>363.36</v>
      </c>
      <c r="D42" s="4"/>
      <c r="E42" s="4">
        <v>363.36</v>
      </c>
      <c r="F42" s="4">
        <v>363.36</v>
      </c>
      <c r="G42" s="4"/>
      <c r="H42" s="4">
        <v>363.36</v>
      </c>
      <c r="I42" s="4">
        <v>363.36</v>
      </c>
      <c r="J42" s="4"/>
      <c r="K42" s="4">
        <v>363.36</v>
      </c>
      <c r="L42" s="4">
        <v>363.36</v>
      </c>
      <c r="M42" s="4"/>
      <c r="N42" s="4">
        <v>363.36</v>
      </c>
      <c r="O42" s="4">
        <v>363.36</v>
      </c>
      <c r="P42" s="4"/>
      <c r="Q42" s="4">
        <v>363.36</v>
      </c>
      <c r="R42" s="4">
        <v>363.36</v>
      </c>
      <c r="S42" s="4"/>
      <c r="T42" s="4">
        <v>363.36</v>
      </c>
      <c r="U42" s="4">
        <v>363.36</v>
      </c>
      <c r="V42" s="38"/>
      <c r="W42" s="4">
        <v>363.36</v>
      </c>
      <c r="X42" s="4">
        <v>363.36</v>
      </c>
      <c r="Y42" s="4"/>
      <c r="Z42" s="4">
        <v>363.36</v>
      </c>
      <c r="AA42" s="4">
        <v>363.36</v>
      </c>
      <c r="AB42" s="4"/>
      <c r="AC42" s="4">
        <v>363.36</v>
      </c>
      <c r="AD42" s="4"/>
      <c r="AE42" s="4"/>
      <c r="AF42" s="4">
        <v>363.36</v>
      </c>
      <c r="AG42" s="4"/>
      <c r="AH42" s="4"/>
      <c r="AI42" s="4">
        <v>363.36</v>
      </c>
      <c r="AJ42" s="4"/>
      <c r="AK42" s="4">
        <v>0</v>
      </c>
    </row>
    <row r="43" spans="1:37" ht="15" x14ac:dyDescent="0.2">
      <c r="A43" s="13" t="s">
        <v>125</v>
      </c>
      <c r="B43" s="4">
        <v>300</v>
      </c>
      <c r="C43" s="4">
        <v>200</v>
      </c>
      <c r="D43" s="4"/>
      <c r="E43" s="4">
        <v>300</v>
      </c>
      <c r="F43" s="4">
        <v>300</v>
      </c>
      <c r="G43" s="4"/>
      <c r="H43" s="4">
        <v>300</v>
      </c>
      <c r="I43" s="4">
        <v>200</v>
      </c>
      <c r="J43" s="4"/>
      <c r="K43" s="4">
        <v>300</v>
      </c>
      <c r="L43" s="4">
        <v>200</v>
      </c>
      <c r="M43" s="4"/>
      <c r="N43" s="4">
        <v>150</v>
      </c>
      <c r="O43" s="4">
        <v>400</v>
      </c>
      <c r="P43" s="4"/>
      <c r="Q43" s="4">
        <v>150</v>
      </c>
      <c r="R43" s="4">
        <v>400</v>
      </c>
      <c r="S43" s="4"/>
      <c r="T43" s="4">
        <v>150</v>
      </c>
      <c r="U43" s="4">
        <v>450</v>
      </c>
      <c r="V43" s="38"/>
      <c r="W43" s="4">
        <v>150</v>
      </c>
      <c r="X43" s="4">
        <v>450</v>
      </c>
      <c r="Y43" s="4"/>
      <c r="Z43" s="4">
        <v>150</v>
      </c>
      <c r="AA43" s="4"/>
      <c r="AB43" s="4"/>
      <c r="AC43" s="4">
        <v>150</v>
      </c>
      <c r="AD43" s="4"/>
      <c r="AE43" s="4"/>
      <c r="AF43" s="4">
        <v>150</v>
      </c>
      <c r="AG43" s="4"/>
      <c r="AH43" s="4"/>
      <c r="AI43" s="4">
        <v>150</v>
      </c>
      <c r="AJ43" s="4"/>
      <c r="AK43" s="4">
        <v>0</v>
      </c>
    </row>
    <row r="44" spans="1:37" ht="15" x14ac:dyDescent="0.2">
      <c r="A44" s="13" t="s">
        <v>72</v>
      </c>
      <c r="B44" s="4">
        <v>2021</v>
      </c>
      <c r="C44" s="4">
        <v>2021</v>
      </c>
      <c r="D44" s="4"/>
      <c r="E44" s="4">
        <v>2021</v>
      </c>
      <c r="F44" s="4">
        <v>2021</v>
      </c>
      <c r="G44" s="4"/>
      <c r="H44" s="4">
        <v>2021</v>
      </c>
      <c r="I44" s="4">
        <v>1521.23</v>
      </c>
      <c r="J44" s="4"/>
      <c r="K44" s="4">
        <v>2021</v>
      </c>
      <c r="L44" s="4">
        <v>1521.23</v>
      </c>
      <c r="M44" s="4"/>
      <c r="N44" s="4"/>
      <c r="O44" s="4"/>
      <c r="P44" s="4"/>
      <c r="Q44" s="4">
        <v>500</v>
      </c>
      <c r="R44" s="4">
        <v>600</v>
      </c>
      <c r="S44" s="4"/>
      <c r="T44" s="4">
        <v>200</v>
      </c>
      <c r="U44" s="4">
        <v>820.23</v>
      </c>
      <c r="V44" s="38"/>
      <c r="W44" s="4">
        <v>1000</v>
      </c>
      <c r="X44" s="4">
        <v>1200</v>
      </c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>
        <v>0</v>
      </c>
    </row>
    <row r="45" spans="1:37" ht="13.5" customHeight="1" x14ac:dyDescent="0.2">
      <c r="A45" s="13" t="s">
        <v>152</v>
      </c>
      <c r="B45" s="4"/>
      <c r="C45" s="4"/>
      <c r="D45" s="4"/>
      <c r="E45" s="4"/>
      <c r="F45" s="4"/>
      <c r="G45" s="4"/>
      <c r="H45" s="4">
        <v>300</v>
      </c>
      <c r="I45" s="4">
        <v>234.82</v>
      </c>
      <c r="J45" s="4"/>
      <c r="K45" s="4">
        <v>300</v>
      </c>
      <c r="L45" s="4">
        <v>150</v>
      </c>
      <c r="M45" s="4"/>
      <c r="N45" s="4">
        <v>300</v>
      </c>
      <c r="O45" s="4">
        <v>1070</v>
      </c>
      <c r="P45" s="4"/>
      <c r="Q45" s="4">
        <v>300</v>
      </c>
      <c r="R45" s="4">
        <v>278.52</v>
      </c>
      <c r="S45" s="4"/>
      <c r="T45" s="4">
        <v>150</v>
      </c>
      <c r="U45" s="4">
        <v>300</v>
      </c>
      <c r="V45" s="38"/>
      <c r="W45" s="4">
        <v>150</v>
      </c>
      <c r="X45" s="4">
        <v>361.06</v>
      </c>
      <c r="Y45" s="4"/>
      <c r="Z45" s="4">
        <v>150</v>
      </c>
      <c r="AA45" s="4">
        <v>300</v>
      </c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 ht="15" x14ac:dyDescent="0.2">
      <c r="A46" s="13" t="s">
        <v>81</v>
      </c>
      <c r="B46" s="4">
        <v>900</v>
      </c>
      <c r="C46" s="4">
        <v>908</v>
      </c>
      <c r="D46" s="4"/>
      <c r="E46" s="4">
        <v>900</v>
      </c>
      <c r="F46" s="4">
        <v>200</v>
      </c>
      <c r="G46" s="4"/>
      <c r="H46" s="4">
        <v>900</v>
      </c>
      <c r="I46" s="4">
        <v>373.21</v>
      </c>
      <c r="J46" s="4"/>
      <c r="K46" s="4">
        <v>200</v>
      </c>
      <c r="L46" s="4">
        <v>1017.69</v>
      </c>
      <c r="M46" s="4"/>
      <c r="N46" s="4">
        <v>200</v>
      </c>
      <c r="O46" s="4"/>
      <c r="P46" s="4"/>
      <c r="Q46" s="4">
        <v>200</v>
      </c>
      <c r="R46" s="4">
        <v>1235.72</v>
      </c>
      <c r="S46" s="4"/>
      <c r="T46" s="4">
        <v>200</v>
      </c>
      <c r="U46" s="4">
        <v>756.05</v>
      </c>
      <c r="V46" s="38"/>
      <c r="W46" s="4">
        <v>200</v>
      </c>
      <c r="X46" s="4">
        <v>2089.62</v>
      </c>
      <c r="Y46" s="4"/>
      <c r="Z46" s="4">
        <v>200</v>
      </c>
      <c r="AA46" s="4"/>
      <c r="AB46" s="4"/>
      <c r="AC46" s="4">
        <v>200</v>
      </c>
      <c r="AD46" s="4"/>
      <c r="AE46" s="4"/>
      <c r="AF46" s="4">
        <v>200</v>
      </c>
      <c r="AG46" s="4"/>
      <c r="AH46" s="4"/>
      <c r="AI46" s="4">
        <v>200</v>
      </c>
      <c r="AJ46" s="4"/>
      <c r="AK46" s="4">
        <v>0</v>
      </c>
    </row>
    <row r="47" spans="1:37" ht="15" x14ac:dyDescent="0.2">
      <c r="A47" s="13" t="s">
        <v>133</v>
      </c>
      <c r="B47" s="4">
        <v>17000</v>
      </c>
      <c r="C47" s="4">
        <v>11672.91</v>
      </c>
      <c r="D47" s="4"/>
      <c r="E47" s="4">
        <v>17000</v>
      </c>
      <c r="F47" s="4">
        <v>14796.31</v>
      </c>
      <c r="G47" s="4"/>
      <c r="H47" s="4">
        <v>17000</v>
      </c>
      <c r="I47" s="4">
        <v>13686.65</v>
      </c>
      <c r="J47" s="4"/>
      <c r="K47" s="4">
        <v>17000</v>
      </c>
      <c r="L47" s="4">
        <v>16978.43</v>
      </c>
      <c r="M47" s="4"/>
      <c r="N47" s="4">
        <v>17000</v>
      </c>
      <c r="O47" s="4">
        <v>12466.93</v>
      </c>
      <c r="P47" s="4"/>
      <c r="Q47" s="4">
        <v>17000</v>
      </c>
      <c r="R47" s="4">
        <v>15194.53</v>
      </c>
      <c r="S47" s="4"/>
      <c r="T47" s="4">
        <v>17000</v>
      </c>
      <c r="U47" s="4">
        <v>14132.62</v>
      </c>
      <c r="V47" s="38"/>
      <c r="W47" s="4">
        <v>17000</v>
      </c>
      <c r="X47" s="4">
        <v>19347.28</v>
      </c>
      <c r="Y47" s="4"/>
      <c r="Z47" s="4">
        <v>17000</v>
      </c>
      <c r="AA47" s="4"/>
      <c r="AB47" s="4"/>
      <c r="AC47" s="4">
        <v>17000</v>
      </c>
      <c r="AD47" s="4"/>
      <c r="AE47" s="4"/>
      <c r="AF47" s="4">
        <v>17000</v>
      </c>
      <c r="AG47" s="4"/>
      <c r="AH47" s="4"/>
      <c r="AI47" s="4">
        <v>17000</v>
      </c>
      <c r="AJ47" s="4"/>
      <c r="AK47" s="4">
        <v>0</v>
      </c>
    </row>
    <row r="48" spans="1:37" ht="15" x14ac:dyDescent="0.2">
      <c r="A48" s="13" t="s">
        <v>124</v>
      </c>
      <c r="B48" s="4">
        <v>348.69</v>
      </c>
      <c r="C48" s="4">
        <v>348.69</v>
      </c>
      <c r="D48" s="4"/>
      <c r="E48" s="4">
        <v>348.69</v>
      </c>
      <c r="F48" s="4">
        <v>348.69</v>
      </c>
      <c r="G48" s="4"/>
      <c r="H48" s="4">
        <v>348.69</v>
      </c>
      <c r="I48" s="4">
        <v>348.69</v>
      </c>
      <c r="J48" s="4"/>
      <c r="K48" s="4">
        <v>348.69</v>
      </c>
      <c r="L48" s="4">
        <v>357.65</v>
      </c>
      <c r="M48" s="4"/>
      <c r="N48" s="4">
        <v>348.69</v>
      </c>
      <c r="O48" s="4">
        <v>360.86</v>
      </c>
      <c r="P48" s="4"/>
      <c r="Q48" s="4">
        <v>348.69</v>
      </c>
      <c r="R48" s="4">
        <v>364.31</v>
      </c>
      <c r="S48" s="4"/>
      <c r="T48" s="4">
        <v>348.69</v>
      </c>
      <c r="U48" s="4">
        <v>348.69</v>
      </c>
      <c r="V48" s="38"/>
      <c r="W48" s="4">
        <v>348.69</v>
      </c>
      <c r="X48" s="4"/>
      <c r="Y48" s="4"/>
      <c r="Z48" s="4">
        <v>348.69</v>
      </c>
      <c r="AA48" s="4"/>
      <c r="AB48" s="4"/>
      <c r="AC48" s="4">
        <v>348.69</v>
      </c>
      <c r="AD48" s="4"/>
      <c r="AE48" s="4"/>
      <c r="AF48" s="4">
        <v>348.69</v>
      </c>
      <c r="AG48" s="4"/>
      <c r="AH48" s="4"/>
      <c r="AI48" s="4">
        <v>348.69</v>
      </c>
      <c r="AJ48" s="4"/>
      <c r="AK48" s="4">
        <v>0</v>
      </c>
    </row>
    <row r="49" spans="1:37 16384:16384" ht="15" x14ac:dyDescent="0.2">
      <c r="A49" s="13" t="s">
        <v>123</v>
      </c>
      <c r="B49" s="4">
        <v>17000</v>
      </c>
      <c r="C49" s="4">
        <v>16620.89</v>
      </c>
      <c r="D49" s="4"/>
      <c r="E49" s="4">
        <v>17000</v>
      </c>
      <c r="F49" s="4">
        <v>11938.08</v>
      </c>
      <c r="G49" s="4"/>
      <c r="H49" s="4">
        <v>17000</v>
      </c>
      <c r="I49" s="4">
        <v>11980.39</v>
      </c>
      <c r="J49" s="4"/>
      <c r="K49" s="4">
        <v>17000</v>
      </c>
      <c r="L49" s="4">
        <v>14927.8</v>
      </c>
      <c r="M49" s="4"/>
      <c r="N49" s="4">
        <v>17000</v>
      </c>
      <c r="O49" s="4">
        <v>9810.5300000000007</v>
      </c>
      <c r="P49" s="4"/>
      <c r="Q49" s="4">
        <v>17000</v>
      </c>
      <c r="R49" s="4">
        <v>13894.92</v>
      </c>
      <c r="S49" s="4"/>
      <c r="T49" s="4">
        <v>17000</v>
      </c>
      <c r="U49" s="4">
        <v>4961.99</v>
      </c>
      <c r="V49" s="38"/>
      <c r="W49" s="4">
        <v>17000</v>
      </c>
      <c r="X49" s="4">
        <v>19347.28</v>
      </c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>
        <v>0</v>
      </c>
    </row>
    <row r="50" spans="1:37 16384:16384" ht="15" x14ac:dyDescent="0.2">
      <c r="A50" s="13" t="s">
        <v>92</v>
      </c>
      <c r="B50" s="4">
        <v>846.17</v>
      </c>
      <c r="C50" s="4">
        <v>846.17</v>
      </c>
      <c r="D50" s="4"/>
      <c r="E50" s="4">
        <v>839.31</v>
      </c>
      <c r="F50" s="4">
        <v>839.31</v>
      </c>
      <c r="G50" s="4"/>
      <c r="H50" s="4">
        <v>960.54</v>
      </c>
      <c r="I50" s="4">
        <v>960.54</v>
      </c>
      <c r="J50" s="4"/>
      <c r="K50" s="4">
        <v>960.54</v>
      </c>
      <c r="L50" s="4">
        <v>960.54</v>
      </c>
      <c r="M50" s="4"/>
      <c r="N50" s="4">
        <v>960.54</v>
      </c>
      <c r="O50" s="4">
        <v>960.54</v>
      </c>
      <c r="P50" s="4"/>
      <c r="Q50" s="4">
        <v>1000</v>
      </c>
      <c r="R50" s="4">
        <v>1083.3</v>
      </c>
      <c r="S50" s="4"/>
      <c r="T50" s="4">
        <v>1083.3</v>
      </c>
      <c r="U50" s="4">
        <v>1083.3</v>
      </c>
      <c r="V50" s="38"/>
      <c r="W50" s="4">
        <v>1083.3</v>
      </c>
      <c r="X50" s="4">
        <v>1083.3</v>
      </c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>
        <v>0</v>
      </c>
    </row>
    <row r="51" spans="1:37 16384:16384" ht="15" x14ac:dyDescent="0.2">
      <c r="A51" s="13" t="s">
        <v>66</v>
      </c>
      <c r="B51" s="4">
        <v>52</v>
      </c>
      <c r="C51" s="4">
        <v>109.71</v>
      </c>
      <c r="D51" s="4"/>
      <c r="E51" s="4">
        <v>90.73</v>
      </c>
      <c r="F51" s="4">
        <v>192.73</v>
      </c>
      <c r="G51" s="4"/>
      <c r="H51" s="4">
        <v>100</v>
      </c>
      <c r="I51" s="4">
        <v>184.77</v>
      </c>
      <c r="J51" s="4"/>
      <c r="K51" s="4">
        <v>100</v>
      </c>
      <c r="L51" s="4">
        <v>148.56</v>
      </c>
      <c r="M51" s="4"/>
      <c r="N51" s="4">
        <v>100</v>
      </c>
      <c r="O51" s="4">
        <v>932.82</v>
      </c>
      <c r="P51" s="4"/>
      <c r="Q51" s="4">
        <v>800</v>
      </c>
      <c r="R51" s="4">
        <v>640.53</v>
      </c>
      <c r="S51" s="4"/>
      <c r="T51" s="4">
        <v>113</v>
      </c>
      <c r="U51" s="4">
        <v>113</v>
      </c>
      <c r="V51" s="38"/>
      <c r="W51" s="4">
        <v>100</v>
      </c>
      <c r="X51" s="4">
        <v>784.27</v>
      </c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>
        <v>0</v>
      </c>
    </row>
    <row r="52" spans="1:37 16384:16384" ht="15" x14ac:dyDescent="0.2">
      <c r="A52" s="13" t="s">
        <v>49</v>
      </c>
      <c r="B52" s="4">
        <v>95</v>
      </c>
      <c r="C52" s="4">
        <v>95</v>
      </c>
      <c r="D52" s="4"/>
      <c r="E52" s="4">
        <v>80.260000000000005</v>
      </c>
      <c r="F52" s="4">
        <v>80.260000000000005</v>
      </c>
      <c r="G52" s="4"/>
      <c r="H52" s="4">
        <v>100</v>
      </c>
      <c r="I52" s="4">
        <v>445.67</v>
      </c>
      <c r="J52" s="4"/>
      <c r="K52" s="4">
        <v>100</v>
      </c>
      <c r="L52" s="4">
        <v>1090.67</v>
      </c>
      <c r="M52" s="4"/>
      <c r="N52" s="4">
        <v>100</v>
      </c>
      <c r="O52" s="4">
        <v>142</v>
      </c>
      <c r="P52" s="4"/>
      <c r="Q52" s="4">
        <v>100</v>
      </c>
      <c r="R52" s="4">
        <v>125</v>
      </c>
      <c r="S52" s="4"/>
      <c r="T52" s="4">
        <v>100</v>
      </c>
      <c r="U52" s="4"/>
      <c r="V52" s="38"/>
      <c r="W52" s="4">
        <v>100</v>
      </c>
      <c r="X52" s="4">
        <v>1965.25</v>
      </c>
      <c r="Y52" s="4"/>
      <c r="Z52" s="4">
        <v>100</v>
      </c>
      <c r="AA52" s="4"/>
      <c r="AB52" s="4"/>
      <c r="AC52" s="4">
        <v>100</v>
      </c>
      <c r="AD52" s="4"/>
      <c r="AE52" s="4"/>
      <c r="AF52" s="4">
        <v>100</v>
      </c>
      <c r="AG52" s="4"/>
      <c r="AH52" s="4"/>
      <c r="AI52" s="4">
        <v>100</v>
      </c>
      <c r="AJ52" s="4"/>
      <c r="AK52" s="4">
        <v>0</v>
      </c>
    </row>
    <row r="53" spans="1:37 16384:16384" ht="15" x14ac:dyDescent="0.2">
      <c r="A53" s="13" t="s">
        <v>99</v>
      </c>
      <c r="B53" s="4">
        <v>2000</v>
      </c>
      <c r="C53" s="4">
        <v>3424.57</v>
      </c>
      <c r="D53" s="4"/>
      <c r="E53" s="4">
        <v>2000</v>
      </c>
      <c r="F53" s="4">
        <v>303</v>
      </c>
      <c r="G53" s="4"/>
      <c r="H53" s="4">
        <v>2000</v>
      </c>
      <c r="I53" s="4">
        <v>4644.6099999999997</v>
      </c>
      <c r="J53" s="4"/>
      <c r="K53" s="4">
        <v>2000</v>
      </c>
      <c r="L53" s="4">
        <v>1618.14</v>
      </c>
      <c r="M53" s="4"/>
      <c r="N53" s="4">
        <v>2000</v>
      </c>
      <c r="O53" s="4">
        <v>3072.97</v>
      </c>
      <c r="P53" s="4"/>
      <c r="Q53" s="4">
        <v>2000</v>
      </c>
      <c r="R53" s="4">
        <v>3028.31</v>
      </c>
      <c r="S53" s="4"/>
      <c r="T53" s="4">
        <v>2000</v>
      </c>
      <c r="U53" s="4">
        <v>2232.11</v>
      </c>
      <c r="V53" s="38"/>
      <c r="W53" s="4">
        <v>2000</v>
      </c>
      <c r="X53" s="4">
        <v>6853.68</v>
      </c>
      <c r="Y53" s="4"/>
      <c r="Z53" s="4">
        <v>2000</v>
      </c>
      <c r="AA53" s="4"/>
      <c r="AB53" s="4"/>
      <c r="AC53" s="4">
        <v>2000</v>
      </c>
      <c r="AD53" s="4"/>
      <c r="AE53" s="4"/>
      <c r="AF53" s="4">
        <v>2000</v>
      </c>
      <c r="AG53" s="4"/>
      <c r="AH53" s="4"/>
      <c r="AI53" s="4">
        <v>2000</v>
      </c>
      <c r="AJ53" s="4"/>
      <c r="AK53" s="4">
        <v>0</v>
      </c>
    </row>
    <row r="54" spans="1:37 16384:16384" ht="15" x14ac:dyDescent="0.2">
      <c r="A54" s="13" t="s">
        <v>112</v>
      </c>
      <c r="B54" s="4">
        <v>1660</v>
      </c>
      <c r="C54" s="4">
        <v>1300</v>
      </c>
      <c r="D54" s="4"/>
      <c r="E54" s="4">
        <v>360</v>
      </c>
      <c r="F54" s="4">
        <v>360</v>
      </c>
      <c r="G54" s="4"/>
      <c r="H54" s="4">
        <v>360</v>
      </c>
      <c r="I54" s="4">
        <v>360</v>
      </c>
      <c r="J54" s="4"/>
      <c r="K54" s="4">
        <v>360</v>
      </c>
      <c r="L54" s="4">
        <v>360</v>
      </c>
      <c r="M54" s="4"/>
      <c r="N54" s="4">
        <v>360</v>
      </c>
      <c r="O54" s="4">
        <v>843.33</v>
      </c>
      <c r="P54" s="4"/>
      <c r="Q54" s="4">
        <v>433.33</v>
      </c>
      <c r="R54" s="4">
        <v>433.33</v>
      </c>
      <c r="S54" s="4"/>
      <c r="T54" s="4">
        <v>700</v>
      </c>
      <c r="U54" s="4">
        <v>653.34</v>
      </c>
      <c r="V54" s="38"/>
      <c r="W54" s="4">
        <v>100</v>
      </c>
      <c r="X54" s="4">
        <v>30</v>
      </c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>
        <v>0</v>
      </c>
    </row>
    <row r="55" spans="1:37 16384:16384" ht="15" x14ac:dyDescent="0.2">
      <c r="A55" s="13" t="s">
        <v>138</v>
      </c>
      <c r="B55" s="4">
        <v>278.74</v>
      </c>
      <c r="C55" s="4">
        <v>278.74</v>
      </c>
      <c r="D55" s="4"/>
      <c r="E55" s="4">
        <v>150</v>
      </c>
      <c r="F55" s="4">
        <v>98.42</v>
      </c>
      <c r="G55" s="4"/>
      <c r="H55" s="4">
        <v>150</v>
      </c>
      <c r="I55" s="4">
        <v>98.42</v>
      </c>
      <c r="J55" s="4"/>
      <c r="K55" s="4">
        <v>150</v>
      </c>
      <c r="L55" s="4">
        <v>98.42</v>
      </c>
      <c r="M55" s="4"/>
      <c r="N55" s="4">
        <v>150</v>
      </c>
      <c r="O55" s="4">
        <v>147.41999999999999</v>
      </c>
      <c r="P55" s="4"/>
      <c r="Q55" s="4">
        <v>150</v>
      </c>
      <c r="R55" s="4">
        <v>145.78</v>
      </c>
      <c r="S55" s="4"/>
      <c r="T55" s="4">
        <v>150</v>
      </c>
      <c r="U55" s="4">
        <v>98.42</v>
      </c>
      <c r="V55" s="38"/>
      <c r="W55" s="4">
        <v>150</v>
      </c>
      <c r="X55" s="4">
        <v>100.42</v>
      </c>
      <c r="Y55" s="4"/>
      <c r="Z55" s="4">
        <v>150</v>
      </c>
      <c r="AA55" s="4"/>
      <c r="AB55" s="4"/>
      <c r="AC55" s="4">
        <v>150</v>
      </c>
      <c r="AD55" s="4"/>
      <c r="AE55" s="4"/>
      <c r="AF55" s="4">
        <v>150</v>
      </c>
      <c r="AG55" s="4"/>
      <c r="AH55" s="4"/>
      <c r="AI55" s="4">
        <v>150</v>
      </c>
      <c r="AJ55" s="4"/>
      <c r="AK55" s="4">
        <v>0</v>
      </c>
    </row>
    <row r="56" spans="1:37 16384:16384" ht="15" x14ac:dyDescent="0.2">
      <c r="A56" s="13" t="s">
        <v>83</v>
      </c>
      <c r="B56" s="4">
        <v>50</v>
      </c>
      <c r="C56" s="4">
        <v>50</v>
      </c>
      <c r="D56" s="4"/>
      <c r="E56" s="4">
        <v>50</v>
      </c>
      <c r="F56" s="4">
        <v>80.91</v>
      </c>
      <c r="G56" s="4"/>
      <c r="H56" s="4">
        <v>50</v>
      </c>
      <c r="I56" s="4">
        <v>40.42</v>
      </c>
      <c r="J56" s="4"/>
      <c r="K56" s="4">
        <v>50</v>
      </c>
      <c r="L56" s="4">
        <v>108.65</v>
      </c>
      <c r="M56" s="4"/>
      <c r="N56" s="4">
        <v>50</v>
      </c>
      <c r="O56" s="4">
        <v>43.63</v>
      </c>
      <c r="P56" s="4"/>
      <c r="Q56" s="4">
        <v>50</v>
      </c>
      <c r="R56" s="4">
        <v>68.13</v>
      </c>
      <c r="S56" s="4"/>
      <c r="T56" s="4">
        <v>50</v>
      </c>
      <c r="U56" s="4">
        <v>42.75</v>
      </c>
      <c r="V56" s="38"/>
      <c r="W56" s="4">
        <v>50</v>
      </c>
      <c r="X56" s="4">
        <v>74.83</v>
      </c>
      <c r="Y56" s="4"/>
      <c r="Z56" s="4">
        <v>50</v>
      </c>
      <c r="AA56" s="4"/>
      <c r="AB56" s="4"/>
      <c r="AC56" s="4">
        <v>50</v>
      </c>
      <c r="AD56" s="4"/>
      <c r="AE56" s="4"/>
      <c r="AF56" s="4">
        <v>50</v>
      </c>
      <c r="AG56" s="4"/>
      <c r="AH56" s="4"/>
      <c r="AI56" s="4">
        <v>50</v>
      </c>
      <c r="AJ56" s="4"/>
      <c r="AK56" s="4">
        <v>0</v>
      </c>
    </row>
    <row r="57" spans="1:37 16384:16384" ht="15" x14ac:dyDescent="0.2">
      <c r="A57" s="13" t="s">
        <v>82</v>
      </c>
      <c r="B57" s="4">
        <v>169.72</v>
      </c>
      <c r="C57" s="4">
        <v>169.72</v>
      </c>
      <c r="D57" s="4"/>
      <c r="E57" s="4">
        <v>169.72</v>
      </c>
      <c r="F57" s="4">
        <v>169.72</v>
      </c>
      <c r="G57" s="4"/>
      <c r="H57" s="4">
        <v>169.72</v>
      </c>
      <c r="I57" s="4">
        <v>169.72</v>
      </c>
      <c r="J57" s="4"/>
      <c r="K57" s="4">
        <v>169.72</v>
      </c>
      <c r="L57" s="4">
        <v>169.72</v>
      </c>
      <c r="M57" s="4"/>
      <c r="N57" s="4">
        <v>169.72</v>
      </c>
      <c r="O57" s="4">
        <v>169.72</v>
      </c>
      <c r="P57" s="4"/>
      <c r="Q57" s="4">
        <v>169.72</v>
      </c>
      <c r="R57" s="4">
        <v>169.72</v>
      </c>
      <c r="S57" s="4"/>
      <c r="T57" s="4">
        <v>169.72</v>
      </c>
      <c r="U57" s="4">
        <v>169.72</v>
      </c>
      <c r="V57" s="38"/>
      <c r="W57" s="4">
        <v>169.72</v>
      </c>
      <c r="X57" s="4">
        <v>169.72</v>
      </c>
      <c r="Y57" s="4"/>
      <c r="Z57" s="4">
        <v>169.72</v>
      </c>
      <c r="AA57" s="4"/>
      <c r="AB57" s="4"/>
      <c r="AC57" s="4">
        <v>169.72</v>
      </c>
      <c r="AD57" s="4"/>
      <c r="AE57" s="4"/>
      <c r="AF57" s="4">
        <v>169.72</v>
      </c>
      <c r="AG57" s="4"/>
      <c r="AH57" s="4"/>
      <c r="AI57" s="4">
        <v>169.72</v>
      </c>
      <c r="AJ57" s="4"/>
      <c r="AK57" s="4">
        <v>0</v>
      </c>
      <c r="XFD57" s="4"/>
    </row>
    <row r="58" spans="1:37 16384:16384" ht="15" x14ac:dyDescent="0.2">
      <c r="A58" s="13" t="s">
        <v>129</v>
      </c>
      <c r="B58" s="4">
        <v>24672</v>
      </c>
      <c r="C58" s="4">
        <v>25520.32</v>
      </c>
      <c r="D58" s="4"/>
      <c r="E58" s="4">
        <v>30190</v>
      </c>
      <c r="F58" s="4">
        <v>30190</v>
      </c>
      <c r="G58" s="4"/>
      <c r="H58" s="4">
        <v>28000</v>
      </c>
      <c r="I58" s="4">
        <v>32240.86</v>
      </c>
      <c r="J58" s="4"/>
      <c r="K58" s="4">
        <v>28000</v>
      </c>
      <c r="L58" s="4">
        <v>14787.18</v>
      </c>
      <c r="M58" s="4"/>
      <c r="N58" s="4">
        <v>28000</v>
      </c>
      <c r="O58" s="4">
        <v>35890.17</v>
      </c>
      <c r="P58" s="4"/>
      <c r="Q58" s="4">
        <v>28000</v>
      </c>
      <c r="R58" s="4">
        <v>35892.730000000003</v>
      </c>
      <c r="S58" s="4"/>
      <c r="T58" s="4">
        <v>28000</v>
      </c>
      <c r="U58" s="4">
        <v>23271.48</v>
      </c>
      <c r="V58" s="38"/>
      <c r="W58" s="4">
        <v>28000</v>
      </c>
      <c r="X58" s="4">
        <v>28288.2</v>
      </c>
      <c r="Y58" s="4"/>
      <c r="Z58" s="4">
        <v>28000</v>
      </c>
      <c r="AA58" s="4"/>
      <c r="AB58" s="4"/>
      <c r="AC58" s="4">
        <v>28000</v>
      </c>
      <c r="AD58" s="4"/>
      <c r="AE58" s="4"/>
      <c r="AF58" s="4">
        <v>28000</v>
      </c>
      <c r="AG58" s="4"/>
      <c r="AH58" s="4"/>
      <c r="AI58" s="4">
        <v>28000</v>
      </c>
      <c r="AJ58" s="4"/>
      <c r="AK58" s="4">
        <v>0</v>
      </c>
    </row>
    <row r="59" spans="1:37 16384:16384" ht="15" x14ac:dyDescent="0.2">
      <c r="A59" s="13" t="s">
        <v>130</v>
      </c>
      <c r="B59" s="4">
        <v>19707.53</v>
      </c>
      <c r="C59" s="4">
        <v>19707.53</v>
      </c>
      <c r="D59" s="4"/>
      <c r="E59" s="4">
        <v>22840</v>
      </c>
      <c r="F59" s="4">
        <v>22840</v>
      </c>
      <c r="G59" s="4"/>
      <c r="H59" s="4">
        <v>22000</v>
      </c>
      <c r="I59" s="4">
        <v>22566.65</v>
      </c>
      <c r="J59" s="4"/>
      <c r="K59" s="4">
        <v>22000</v>
      </c>
      <c r="L59" s="4">
        <v>15595.2</v>
      </c>
      <c r="M59" s="4"/>
      <c r="N59" s="4">
        <v>22000</v>
      </c>
      <c r="O59" s="4">
        <v>30900.61</v>
      </c>
      <c r="P59" s="4"/>
      <c r="Q59" s="4">
        <v>22000</v>
      </c>
      <c r="R59" s="4">
        <v>26554.25</v>
      </c>
      <c r="S59" s="4"/>
      <c r="T59" s="4">
        <v>22000</v>
      </c>
      <c r="U59" s="4">
        <v>22396.5</v>
      </c>
      <c r="V59" s="38"/>
      <c r="W59" s="4">
        <v>22000</v>
      </c>
      <c r="X59" s="4">
        <v>22126.54</v>
      </c>
      <c r="Y59" s="4"/>
      <c r="Z59" s="4">
        <v>22000</v>
      </c>
      <c r="AA59" s="4"/>
      <c r="AB59" s="4"/>
      <c r="AC59" s="4">
        <v>22000</v>
      </c>
      <c r="AD59" s="4"/>
      <c r="AE59" s="4"/>
      <c r="AF59" s="4">
        <v>22000</v>
      </c>
      <c r="AG59" s="4"/>
      <c r="AH59" s="4"/>
      <c r="AI59" s="4">
        <v>22000</v>
      </c>
      <c r="AJ59" s="4"/>
      <c r="AK59" s="4">
        <v>0</v>
      </c>
    </row>
    <row r="60" spans="1:37 16384:16384" ht="15" x14ac:dyDescent="0.2">
      <c r="A60" s="13" t="s">
        <v>34</v>
      </c>
      <c r="B60" s="4">
        <v>706</v>
      </c>
      <c r="C60" s="4">
        <v>706</v>
      </c>
      <c r="D60" s="4"/>
      <c r="E60" s="4">
        <v>706</v>
      </c>
      <c r="F60" s="4">
        <v>706</v>
      </c>
      <c r="G60" s="4"/>
      <c r="H60" s="4">
        <v>706</v>
      </c>
      <c r="I60" s="4">
        <v>706</v>
      </c>
      <c r="J60" s="4"/>
      <c r="K60" s="4">
        <v>706</v>
      </c>
      <c r="L60" s="4">
        <v>706</v>
      </c>
      <c r="M60" s="4"/>
      <c r="N60" s="4">
        <v>706</v>
      </c>
      <c r="O60" s="4">
        <v>706</v>
      </c>
      <c r="P60" s="4"/>
      <c r="Q60" s="4">
        <v>706</v>
      </c>
      <c r="R60" s="4">
        <v>706</v>
      </c>
      <c r="S60" s="4"/>
      <c r="T60" s="4">
        <v>706</v>
      </c>
      <c r="U60" s="4">
        <v>706</v>
      </c>
      <c r="V60" s="38"/>
      <c r="W60" s="4">
        <v>706</v>
      </c>
      <c r="X60" s="4">
        <v>706</v>
      </c>
      <c r="Y60" s="4"/>
      <c r="Z60" s="4">
        <v>706</v>
      </c>
      <c r="AA60" s="4"/>
      <c r="AB60" s="4"/>
      <c r="AC60" s="4">
        <v>706</v>
      </c>
      <c r="AD60" s="4"/>
      <c r="AE60" s="4"/>
      <c r="AF60" s="4">
        <v>706</v>
      </c>
      <c r="AG60" s="4"/>
      <c r="AH60" s="4"/>
      <c r="AI60" s="4">
        <v>706</v>
      </c>
      <c r="AJ60" s="4"/>
      <c r="AK60" s="4">
        <v>0</v>
      </c>
    </row>
    <row r="61" spans="1:37 16384:16384" ht="15" x14ac:dyDescent="0.2">
      <c r="A61" s="13" t="s">
        <v>147</v>
      </c>
      <c r="B61" s="4">
        <v>926.42</v>
      </c>
      <c r="C61" s="4">
        <v>926.42</v>
      </c>
      <c r="D61" s="4"/>
      <c r="E61" s="4">
        <v>926.42</v>
      </c>
      <c r="F61" s="4">
        <v>926.42</v>
      </c>
      <c r="G61" s="4"/>
      <c r="H61" s="4">
        <v>926.42</v>
      </c>
      <c r="I61" s="4">
        <v>926.42</v>
      </c>
      <c r="J61" s="4"/>
      <c r="K61" s="4">
        <v>926.42</v>
      </c>
      <c r="L61" s="4">
        <v>926.42</v>
      </c>
      <c r="M61" s="4"/>
      <c r="N61" s="4">
        <v>926.42</v>
      </c>
      <c r="O61" s="4">
        <v>926.42</v>
      </c>
      <c r="P61" s="4"/>
      <c r="Q61" s="4"/>
      <c r="R61" s="4"/>
      <c r="S61" s="4"/>
      <c r="T61" s="4"/>
      <c r="U61" s="4"/>
      <c r="V61" s="38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spans="1:37 16384:16384" ht="15" x14ac:dyDescent="0.2">
      <c r="A62" s="13" t="s">
        <v>102</v>
      </c>
      <c r="B62" s="156">
        <v>26.72</v>
      </c>
      <c r="C62" s="4">
        <v>50.72</v>
      </c>
      <c r="D62" s="4"/>
      <c r="E62" s="4">
        <v>55.04</v>
      </c>
      <c r="F62" s="4">
        <v>55.04</v>
      </c>
      <c r="G62" s="4"/>
      <c r="H62" s="4">
        <v>55.04</v>
      </c>
      <c r="I62" s="4">
        <v>48.8</v>
      </c>
      <c r="J62" s="4"/>
      <c r="K62" s="4">
        <v>55.04</v>
      </c>
      <c r="L62" s="4">
        <v>48.8</v>
      </c>
      <c r="M62" s="4"/>
      <c r="N62" s="4">
        <v>55.04</v>
      </c>
      <c r="O62" s="4">
        <v>36.65</v>
      </c>
      <c r="P62" s="4"/>
      <c r="Q62" s="4">
        <v>55.04</v>
      </c>
      <c r="R62" s="4">
        <v>0.48</v>
      </c>
      <c r="S62" s="4"/>
      <c r="T62" s="4">
        <v>55.04</v>
      </c>
      <c r="U62" s="4">
        <v>0.48</v>
      </c>
      <c r="V62" s="38"/>
      <c r="W62" s="4">
        <v>55.04</v>
      </c>
      <c r="X62" s="4"/>
      <c r="Y62" s="4"/>
      <c r="Z62" s="4">
        <v>55.04</v>
      </c>
      <c r="AA62" s="4"/>
      <c r="AB62" s="4"/>
      <c r="AC62" s="4">
        <v>55.04</v>
      </c>
      <c r="AD62" s="4"/>
      <c r="AE62" s="4"/>
      <c r="AF62" s="4">
        <v>55.04</v>
      </c>
      <c r="AG62" s="4"/>
      <c r="AH62" s="4"/>
      <c r="AI62" s="4">
        <v>55.04</v>
      </c>
      <c r="AJ62" s="4"/>
      <c r="AK62" s="4">
        <v>0</v>
      </c>
    </row>
    <row r="63" spans="1:37 16384:16384" ht="15" x14ac:dyDescent="0.2">
      <c r="A63" s="15" t="s">
        <v>48</v>
      </c>
      <c r="B63" s="4">
        <v>1350</v>
      </c>
      <c r="C63" s="4">
        <v>1350</v>
      </c>
      <c r="D63" s="4"/>
      <c r="E63" s="4">
        <v>1350</v>
      </c>
      <c r="F63" s="4">
        <v>1350</v>
      </c>
      <c r="G63" s="4"/>
      <c r="H63" s="4">
        <v>1350</v>
      </c>
      <c r="I63" s="4">
        <v>1350</v>
      </c>
      <c r="J63" s="4"/>
      <c r="K63" s="4">
        <v>550</v>
      </c>
      <c r="L63" s="4">
        <v>550</v>
      </c>
      <c r="M63" s="4"/>
      <c r="N63" s="4">
        <v>1350</v>
      </c>
      <c r="O63" s="4">
        <v>550</v>
      </c>
      <c r="P63" s="4"/>
      <c r="Q63" s="4">
        <v>550</v>
      </c>
      <c r="R63" s="4">
        <v>550</v>
      </c>
      <c r="S63" s="4"/>
      <c r="T63" s="4">
        <v>1350</v>
      </c>
      <c r="U63" s="4">
        <v>550</v>
      </c>
      <c r="V63" s="38"/>
      <c r="W63" s="4">
        <v>1350</v>
      </c>
      <c r="X63" s="4">
        <v>550</v>
      </c>
      <c r="Y63" s="4"/>
      <c r="Z63" s="4">
        <v>1350</v>
      </c>
      <c r="AA63" s="4"/>
      <c r="AB63" s="4"/>
      <c r="AC63" s="4">
        <v>1350</v>
      </c>
      <c r="AD63" s="4"/>
      <c r="AE63" s="4"/>
      <c r="AF63" s="4">
        <v>1350</v>
      </c>
      <c r="AG63" s="4"/>
      <c r="AH63" s="4"/>
      <c r="AI63" s="4">
        <v>1350</v>
      </c>
      <c r="AJ63" s="4"/>
      <c r="AK63" s="4">
        <v>0</v>
      </c>
    </row>
    <row r="64" spans="1:37 16384:16384" ht="17.25" customHeight="1" x14ac:dyDescent="0.2">
      <c r="A64" s="15" t="s">
        <v>137</v>
      </c>
      <c r="B64" s="4">
        <v>188.51</v>
      </c>
      <c r="C64" s="4">
        <v>188.51</v>
      </c>
      <c r="D64" s="4"/>
      <c r="E64" s="4">
        <v>188.51</v>
      </c>
      <c r="F64" s="4">
        <v>188.51</v>
      </c>
      <c r="G64" s="4"/>
      <c r="H64" s="4">
        <v>188.51</v>
      </c>
      <c r="I64" s="4">
        <v>188.51</v>
      </c>
      <c r="J64" s="4"/>
      <c r="K64" s="4">
        <v>188.51</v>
      </c>
      <c r="L64" s="4">
        <v>188.51</v>
      </c>
      <c r="M64" s="4"/>
      <c r="N64" s="4">
        <v>188.51</v>
      </c>
      <c r="O64" s="4">
        <v>188.51</v>
      </c>
      <c r="P64" s="4"/>
      <c r="Q64" s="4">
        <v>188.51</v>
      </c>
      <c r="R64" s="4">
        <v>188.51</v>
      </c>
      <c r="S64" s="4"/>
      <c r="T64" s="4">
        <v>188.51</v>
      </c>
      <c r="U64" s="4">
        <v>188.51</v>
      </c>
      <c r="V64" s="38"/>
      <c r="W64" s="4">
        <v>188.51</v>
      </c>
      <c r="X64" s="4">
        <v>188.51</v>
      </c>
      <c r="Y64" s="4"/>
      <c r="Z64" s="4">
        <v>188.51</v>
      </c>
      <c r="AA64" s="4"/>
      <c r="AB64" s="4"/>
      <c r="AC64" s="4">
        <v>188.51</v>
      </c>
      <c r="AD64" s="4"/>
      <c r="AE64" s="4"/>
      <c r="AF64" s="4">
        <v>188.51</v>
      </c>
      <c r="AG64" s="4"/>
      <c r="AH64" s="4"/>
      <c r="AI64" s="4">
        <v>188.51</v>
      </c>
      <c r="AJ64" s="4"/>
      <c r="AK64" s="4">
        <v>0</v>
      </c>
    </row>
    <row r="65" spans="1:37" ht="17.25" customHeight="1" x14ac:dyDescent="0.2">
      <c r="A65" s="15" t="s">
        <v>164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>
        <v>524.79999999999995</v>
      </c>
      <c r="R65" s="4">
        <v>524.79999999999995</v>
      </c>
      <c r="S65" s="4"/>
      <c r="T65" s="4">
        <v>524.79999999999995</v>
      </c>
      <c r="U65" s="4">
        <v>524.79999999999995</v>
      </c>
      <c r="V65" s="38"/>
      <c r="W65" s="4">
        <v>524.79999999999995</v>
      </c>
      <c r="X65" s="4">
        <v>524.79999999999995</v>
      </c>
      <c r="Y65" s="4"/>
      <c r="Z65" s="4">
        <v>524.79999999999995</v>
      </c>
      <c r="AA65" s="4"/>
      <c r="AB65" s="4"/>
      <c r="AC65" s="4">
        <v>524.79999999999995</v>
      </c>
      <c r="AD65" s="4"/>
      <c r="AE65" s="4"/>
      <c r="AF65" s="4">
        <v>524.79999999999995</v>
      </c>
      <c r="AG65" s="4"/>
      <c r="AH65" s="4"/>
      <c r="AI65" s="4">
        <v>524.79999999999995</v>
      </c>
      <c r="AJ65" s="4"/>
      <c r="AK65" s="4"/>
    </row>
    <row r="66" spans="1:37" ht="15" x14ac:dyDescent="0.2">
      <c r="A66" s="13" t="s">
        <v>135</v>
      </c>
      <c r="B66" s="4">
        <v>800</v>
      </c>
      <c r="C66" s="4">
        <v>404.43</v>
      </c>
      <c r="D66" s="4"/>
      <c r="E66" s="4">
        <v>800</v>
      </c>
      <c r="F66" s="4">
        <v>798.47</v>
      </c>
      <c r="G66" s="4"/>
      <c r="H66" s="4">
        <v>800</v>
      </c>
      <c r="I66" s="4">
        <v>195.56</v>
      </c>
      <c r="J66" s="4"/>
      <c r="K66" s="4">
        <v>800</v>
      </c>
      <c r="L66" s="4">
        <v>455.96</v>
      </c>
      <c r="M66" s="4"/>
      <c r="N66" s="4">
        <v>800</v>
      </c>
      <c r="O66" s="4">
        <v>278.95</v>
      </c>
      <c r="P66" s="4"/>
      <c r="Q66" s="4">
        <v>800</v>
      </c>
      <c r="R66" s="4">
        <v>294.72000000000003</v>
      </c>
      <c r="S66" s="4"/>
      <c r="T66" s="4">
        <v>800</v>
      </c>
      <c r="U66" s="4">
        <v>120.37</v>
      </c>
      <c r="V66" s="38"/>
      <c r="W66" s="4">
        <v>800</v>
      </c>
      <c r="X66" s="4">
        <v>22.47</v>
      </c>
      <c r="Y66" s="4"/>
      <c r="Z66" s="4">
        <v>800</v>
      </c>
      <c r="AA66" s="4"/>
      <c r="AB66" s="4"/>
      <c r="AC66" s="4">
        <v>800</v>
      </c>
      <c r="AD66" s="4"/>
      <c r="AE66" s="4"/>
      <c r="AF66" s="4">
        <v>800</v>
      </c>
      <c r="AG66" s="4"/>
      <c r="AH66" s="4"/>
      <c r="AI66" s="4">
        <v>800</v>
      </c>
      <c r="AJ66" s="4"/>
      <c r="AK66" s="4">
        <v>0</v>
      </c>
    </row>
    <row r="67" spans="1:37" ht="15" x14ac:dyDescent="0.2">
      <c r="A67" s="13" t="s">
        <v>169</v>
      </c>
      <c r="B67" s="4">
        <v>400</v>
      </c>
      <c r="C67" s="4"/>
      <c r="D67" s="4"/>
      <c r="E67" s="4">
        <v>400</v>
      </c>
      <c r="F67" s="4"/>
      <c r="G67" s="4"/>
      <c r="H67" s="4">
        <v>400</v>
      </c>
      <c r="I67" s="4"/>
      <c r="J67" s="4"/>
      <c r="K67" s="4">
        <v>400</v>
      </c>
      <c r="L67" s="4"/>
      <c r="M67" s="4"/>
      <c r="N67" s="4">
        <v>400</v>
      </c>
      <c r="O67" s="4">
        <v>1371.57</v>
      </c>
      <c r="P67" s="4"/>
      <c r="Q67" s="4">
        <v>400</v>
      </c>
      <c r="R67" s="4">
        <v>135.61000000000001</v>
      </c>
      <c r="S67" s="4"/>
      <c r="T67" s="4">
        <v>400</v>
      </c>
      <c r="U67" s="4">
        <v>168.75</v>
      </c>
      <c r="V67" s="38"/>
      <c r="W67" s="4">
        <v>400</v>
      </c>
      <c r="X67" s="4">
        <v>161.21</v>
      </c>
      <c r="Y67" s="4"/>
      <c r="Z67" s="4">
        <v>400</v>
      </c>
      <c r="AA67" s="4"/>
      <c r="AB67" s="4"/>
      <c r="AC67" s="4">
        <v>400</v>
      </c>
      <c r="AD67" s="4"/>
      <c r="AE67" s="4"/>
      <c r="AF67" s="4">
        <v>400</v>
      </c>
      <c r="AG67" s="4"/>
      <c r="AH67" s="4"/>
      <c r="AI67" s="4">
        <v>400</v>
      </c>
      <c r="AJ67" s="4"/>
      <c r="AK67" s="4">
        <v>0</v>
      </c>
    </row>
    <row r="68" spans="1:37" x14ac:dyDescent="0.2">
      <c r="A68" s="115" t="s">
        <v>107</v>
      </c>
      <c r="B68" s="4">
        <v>3716.32</v>
      </c>
      <c r="C68" s="4">
        <v>3716.32</v>
      </c>
      <c r="D68" s="4"/>
      <c r="E68" s="4">
        <v>3879.84</v>
      </c>
      <c r="F68" s="4">
        <v>3879.84</v>
      </c>
      <c r="G68" s="4"/>
      <c r="H68" s="4">
        <v>3879.84</v>
      </c>
      <c r="I68" s="4">
        <v>3642.92</v>
      </c>
      <c r="J68" s="4"/>
      <c r="K68" s="4">
        <v>3879.84</v>
      </c>
      <c r="L68" s="4">
        <v>3766.65</v>
      </c>
      <c r="M68" s="4"/>
      <c r="N68" s="4">
        <v>3879.84</v>
      </c>
      <c r="O68" s="4">
        <v>3696.26</v>
      </c>
      <c r="P68" s="4"/>
      <c r="Q68" s="4">
        <v>3879.84</v>
      </c>
      <c r="R68" s="4">
        <v>3779.59</v>
      </c>
      <c r="S68" s="4"/>
      <c r="T68" s="4">
        <v>3879.84</v>
      </c>
      <c r="U68" s="4">
        <v>3620.59</v>
      </c>
      <c r="V68" s="38"/>
      <c r="W68" s="4">
        <v>3879.84</v>
      </c>
      <c r="X68" s="4">
        <v>3702.85</v>
      </c>
      <c r="Y68" s="4"/>
      <c r="Z68" s="4">
        <v>3879.84</v>
      </c>
      <c r="AA68" s="4"/>
      <c r="AB68" s="4"/>
      <c r="AC68" s="4">
        <v>3879.84</v>
      </c>
      <c r="AD68" s="4"/>
      <c r="AE68" s="4"/>
      <c r="AF68" s="4">
        <v>3879.84</v>
      </c>
      <c r="AG68" s="4"/>
      <c r="AH68" s="4"/>
      <c r="AI68" s="4">
        <v>3879.84</v>
      </c>
      <c r="AJ68" s="4"/>
      <c r="AK68" s="4">
        <v>0</v>
      </c>
    </row>
    <row r="69" spans="1:37" x14ac:dyDescent="0.2">
      <c r="A69" s="115" t="s">
        <v>157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>
        <v>5536.39</v>
      </c>
      <c r="U69" s="4">
        <v>5536.39</v>
      </c>
      <c r="V69" s="38"/>
      <c r="W69" s="4">
        <v>5500</v>
      </c>
      <c r="X69" s="4">
        <v>5506.82</v>
      </c>
      <c r="Y69" s="4"/>
      <c r="Z69" s="4">
        <v>5500</v>
      </c>
      <c r="AA69" s="4"/>
      <c r="AB69" s="4"/>
      <c r="AC69" s="4">
        <v>5500</v>
      </c>
      <c r="AD69" s="4"/>
      <c r="AE69" s="4"/>
      <c r="AF69" s="4">
        <v>5500</v>
      </c>
      <c r="AG69" s="4"/>
      <c r="AH69" s="4"/>
      <c r="AI69" s="4">
        <v>5500</v>
      </c>
      <c r="AJ69" s="4"/>
      <c r="AK69" s="4"/>
    </row>
    <row r="70" spans="1:37" x14ac:dyDescent="0.2">
      <c r="A70" s="115" t="s">
        <v>158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>
        <v>1125.29</v>
      </c>
      <c r="U70" s="4">
        <v>1125.29</v>
      </c>
      <c r="V70" s="38"/>
      <c r="W70" s="4">
        <v>1200</v>
      </c>
      <c r="X70" s="4">
        <v>1157.8599999999999</v>
      </c>
      <c r="Y70" s="4"/>
      <c r="Z70" s="4">
        <v>1200</v>
      </c>
      <c r="AA70" s="4"/>
      <c r="AB70" s="4"/>
      <c r="AC70" s="4">
        <v>1200</v>
      </c>
      <c r="AD70" s="4"/>
      <c r="AE70" s="4"/>
      <c r="AF70" s="4">
        <v>1200</v>
      </c>
      <c r="AG70" s="4"/>
      <c r="AH70" s="4"/>
      <c r="AI70" s="4">
        <v>1200</v>
      </c>
      <c r="AJ70" s="4"/>
      <c r="AK70" s="4"/>
    </row>
    <row r="71" spans="1:37" x14ac:dyDescent="0.2">
      <c r="A71" s="115" t="s">
        <v>159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>
        <v>2500</v>
      </c>
      <c r="R71" s="4">
        <v>2485.73</v>
      </c>
      <c r="S71" s="4"/>
      <c r="T71" s="4"/>
      <c r="U71" s="4"/>
      <c r="V71" s="38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 spans="1:37" x14ac:dyDescent="0.2">
      <c r="A72" s="115" t="s">
        <v>160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>
        <v>2000</v>
      </c>
      <c r="R72" s="4">
        <v>1375.11</v>
      </c>
      <c r="S72" s="4"/>
      <c r="T72" s="4"/>
      <c r="U72" s="4"/>
      <c r="V72" s="38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spans="1:37" x14ac:dyDescent="0.2">
      <c r="A73" s="115" t="s">
        <v>156</v>
      </c>
      <c r="B73" s="4">
        <v>3592.52</v>
      </c>
      <c r="C73" s="4">
        <v>3592.52</v>
      </c>
      <c r="D73" s="4"/>
      <c r="E73" s="4">
        <v>3592.52</v>
      </c>
      <c r="F73" s="4">
        <v>3592.52</v>
      </c>
      <c r="G73" s="4"/>
      <c r="H73" s="4">
        <v>3592.52</v>
      </c>
      <c r="I73" s="4">
        <v>3592.52</v>
      </c>
      <c r="J73" s="4"/>
      <c r="K73" s="4">
        <v>3592.52</v>
      </c>
      <c r="L73" s="4">
        <v>3592.52</v>
      </c>
      <c r="M73" s="4"/>
      <c r="N73" s="4">
        <v>3592.52</v>
      </c>
      <c r="O73" s="4">
        <v>3592.52</v>
      </c>
      <c r="P73" s="4"/>
      <c r="Q73" s="4">
        <v>3592.52</v>
      </c>
      <c r="R73" s="4">
        <v>3592.52</v>
      </c>
      <c r="S73" s="4"/>
      <c r="T73" s="4">
        <v>3592.52</v>
      </c>
      <c r="U73" s="4">
        <v>3592.52</v>
      </c>
      <c r="V73" s="38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>
        <v>0</v>
      </c>
    </row>
    <row r="74" spans="1:37" ht="15" x14ac:dyDescent="0.2">
      <c r="A74" s="13" t="s">
        <v>18</v>
      </c>
      <c r="B74" s="4">
        <v>1500</v>
      </c>
      <c r="C74" s="4">
        <v>3324.59</v>
      </c>
      <c r="D74" s="4"/>
      <c r="E74" s="4">
        <v>1500</v>
      </c>
      <c r="F74" s="4"/>
      <c r="G74" s="4"/>
      <c r="H74" s="4">
        <v>1500</v>
      </c>
      <c r="I74" s="4">
        <v>3334.26</v>
      </c>
      <c r="J74" s="4"/>
      <c r="K74" s="4">
        <v>1500</v>
      </c>
      <c r="L74" s="4">
        <v>1136.8900000000001</v>
      </c>
      <c r="M74" s="4"/>
      <c r="N74" s="4">
        <v>1500</v>
      </c>
      <c r="O74" s="4">
        <v>221.37</v>
      </c>
      <c r="P74" s="4"/>
      <c r="Q74" s="4">
        <v>1500</v>
      </c>
      <c r="R74" s="4"/>
      <c r="S74" s="4"/>
      <c r="T74" s="4">
        <v>1500</v>
      </c>
      <c r="U74" s="4"/>
      <c r="V74" s="38"/>
      <c r="W74" s="4">
        <v>1500</v>
      </c>
      <c r="X74" s="4"/>
      <c r="Y74" s="4"/>
      <c r="Z74" s="4">
        <v>1500</v>
      </c>
      <c r="AA74" s="4"/>
      <c r="AB74" s="4"/>
      <c r="AC74" s="4">
        <v>1500</v>
      </c>
      <c r="AD74" s="4"/>
      <c r="AE74" s="4"/>
      <c r="AF74" s="4">
        <v>1500</v>
      </c>
      <c r="AG74" s="4"/>
      <c r="AH74" s="4"/>
      <c r="AI74" s="4">
        <v>1500</v>
      </c>
      <c r="AJ74" s="4"/>
      <c r="AK74" s="4">
        <v>0</v>
      </c>
    </row>
    <row r="75" spans="1:37" ht="15" x14ac:dyDescent="0.2">
      <c r="A75" s="13" t="s">
        <v>54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>
        <v>300</v>
      </c>
      <c r="O75" s="4">
        <v>410</v>
      </c>
      <c r="P75" s="4"/>
      <c r="Q75" s="4">
        <v>300</v>
      </c>
      <c r="R75" s="4">
        <v>410</v>
      </c>
      <c r="S75" s="4"/>
      <c r="T75" s="4"/>
      <c r="U75" s="4"/>
      <c r="V75" s="38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>
        <v>0</v>
      </c>
    </row>
    <row r="76" spans="1:37" ht="15" x14ac:dyDescent="0.2">
      <c r="A76" s="13" t="s">
        <v>126</v>
      </c>
      <c r="B76" s="4">
        <v>280</v>
      </c>
      <c r="C76" s="4">
        <v>250</v>
      </c>
      <c r="D76" s="4"/>
      <c r="E76" s="4">
        <v>280</v>
      </c>
      <c r="F76" s="4">
        <v>250</v>
      </c>
      <c r="G76" s="4"/>
      <c r="H76" s="4">
        <v>280</v>
      </c>
      <c r="I76" s="4">
        <v>250</v>
      </c>
      <c r="J76" s="4"/>
      <c r="K76" s="4">
        <v>280</v>
      </c>
      <c r="L76" s="4">
        <v>250</v>
      </c>
      <c r="M76" s="4"/>
      <c r="N76" s="4">
        <v>280</v>
      </c>
      <c r="O76" s="4">
        <v>250</v>
      </c>
      <c r="P76" s="4"/>
      <c r="Q76" s="4">
        <v>280</v>
      </c>
      <c r="R76" s="4">
        <v>250</v>
      </c>
      <c r="S76" s="4"/>
      <c r="T76" s="4">
        <v>280</v>
      </c>
      <c r="U76" s="4">
        <v>250</v>
      </c>
      <c r="V76" s="38"/>
      <c r="W76" s="4">
        <v>280</v>
      </c>
      <c r="X76" s="4">
        <v>250</v>
      </c>
      <c r="Y76" s="4"/>
      <c r="Z76" s="4">
        <v>280</v>
      </c>
      <c r="AA76" s="4">
        <v>250</v>
      </c>
      <c r="AB76" s="4"/>
      <c r="AC76" s="4">
        <v>280</v>
      </c>
      <c r="AD76" s="4"/>
      <c r="AE76" s="4"/>
      <c r="AF76" s="4">
        <v>280</v>
      </c>
      <c r="AG76" s="4"/>
      <c r="AH76" s="4"/>
      <c r="AI76" s="4">
        <v>280</v>
      </c>
      <c r="AJ76" s="4"/>
      <c r="AK76" s="4">
        <v>0</v>
      </c>
    </row>
    <row r="77" spans="1:37" ht="15" x14ac:dyDescent="0.2">
      <c r="A77" s="13" t="s">
        <v>36</v>
      </c>
      <c r="B77" s="4"/>
      <c r="C77" s="4"/>
      <c r="D77" s="4"/>
      <c r="E77" s="4">
        <v>1100</v>
      </c>
      <c r="F77" s="4">
        <v>1100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38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>
        <v>0</v>
      </c>
    </row>
    <row r="78" spans="1:37" ht="15" x14ac:dyDescent="0.2">
      <c r="A78" s="13" t="s">
        <v>30</v>
      </c>
      <c r="B78" s="4">
        <v>1697</v>
      </c>
      <c r="C78" s="4">
        <v>1738.42</v>
      </c>
      <c r="D78" s="4"/>
      <c r="E78" s="4">
        <v>1697</v>
      </c>
      <c r="F78" s="4">
        <v>1697</v>
      </c>
      <c r="G78" s="4"/>
      <c r="H78" s="4">
        <v>1697</v>
      </c>
      <c r="I78" s="4">
        <v>1697</v>
      </c>
      <c r="J78" s="4"/>
      <c r="K78" s="4">
        <v>1697</v>
      </c>
      <c r="L78" s="4">
        <v>1697.37</v>
      </c>
      <c r="M78" s="4"/>
      <c r="N78" s="4"/>
      <c r="O78" s="4"/>
      <c r="P78" s="4"/>
      <c r="Q78" s="4"/>
      <c r="R78" s="4"/>
      <c r="S78" s="4"/>
      <c r="T78" s="4"/>
      <c r="U78" s="4"/>
      <c r="V78" s="38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>
        <v>0</v>
      </c>
    </row>
    <row r="79" spans="1:37" ht="15" x14ac:dyDescent="0.2">
      <c r="A79" s="13" t="s">
        <v>27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38"/>
      <c r="W79" s="4"/>
      <c r="X79" s="4"/>
      <c r="Y79" s="4"/>
      <c r="Z79" s="4"/>
      <c r="AA79" s="4"/>
      <c r="AB79" s="4"/>
      <c r="AC79" s="4"/>
      <c r="AD79" s="4"/>
      <c r="AE79" s="4"/>
      <c r="AF79" s="4">
        <v>7000</v>
      </c>
      <c r="AG79" s="4"/>
      <c r="AH79" s="4"/>
      <c r="AI79" s="4">
        <v>7000</v>
      </c>
      <c r="AJ79" s="4"/>
      <c r="AK79" s="4">
        <v>0</v>
      </c>
    </row>
    <row r="80" spans="1:37" ht="15" x14ac:dyDescent="0.2">
      <c r="A80" s="13" t="s">
        <v>128</v>
      </c>
      <c r="B80" s="4"/>
      <c r="C80" s="4"/>
      <c r="D80" s="4"/>
      <c r="E80" s="4">
        <v>50</v>
      </c>
      <c r="F80" s="4">
        <v>50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38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>
        <v>0</v>
      </c>
    </row>
    <row r="81" spans="1:37" ht="15" x14ac:dyDescent="0.2">
      <c r="A81" s="13" t="s">
        <v>127</v>
      </c>
      <c r="B81" s="4">
        <v>500</v>
      </c>
      <c r="C81" s="4">
        <v>500</v>
      </c>
      <c r="D81" s="4"/>
      <c r="E81" s="4">
        <v>500</v>
      </c>
      <c r="F81" s="4">
        <v>500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>
        <v>450</v>
      </c>
      <c r="U81" s="4">
        <v>450</v>
      </c>
      <c r="V81" s="38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>
        <v>0</v>
      </c>
    </row>
    <row r="82" spans="1:37" ht="15" x14ac:dyDescent="0.2">
      <c r="A82" s="17" t="s">
        <v>43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38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>
        <v>0</v>
      </c>
    </row>
    <row r="83" spans="1:37" ht="15" x14ac:dyDescent="0.2">
      <c r="A83" s="13" t="s">
        <v>52</v>
      </c>
      <c r="B83" s="4">
        <v>700</v>
      </c>
      <c r="C83" s="4">
        <v>700</v>
      </c>
      <c r="D83" s="4"/>
      <c r="E83" s="4">
        <v>700</v>
      </c>
      <c r="F83" s="4">
        <v>700</v>
      </c>
      <c r="G83" s="4"/>
      <c r="H83" s="4">
        <v>188</v>
      </c>
      <c r="I83" s="4">
        <v>188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38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>
        <v>0</v>
      </c>
    </row>
    <row r="84" spans="1:37" ht="15" x14ac:dyDescent="0.2">
      <c r="A84" s="13" t="s">
        <v>155</v>
      </c>
      <c r="B84" s="4"/>
      <c r="C84" s="4"/>
      <c r="D84" s="4"/>
      <c r="E84" s="4"/>
      <c r="F84" s="4"/>
      <c r="G84" s="4"/>
      <c r="H84" s="4"/>
      <c r="I84" s="4"/>
      <c r="J84" s="4"/>
      <c r="K84" s="4">
        <v>2000</v>
      </c>
      <c r="L84" s="4">
        <v>2000</v>
      </c>
      <c r="M84" s="4"/>
      <c r="N84" s="4">
        <v>2000</v>
      </c>
      <c r="O84" s="4">
        <v>2000</v>
      </c>
      <c r="P84" s="4"/>
      <c r="Q84" s="4">
        <v>30000</v>
      </c>
      <c r="R84" s="4">
        <v>30000</v>
      </c>
      <c r="S84" s="4"/>
      <c r="T84" s="4"/>
      <c r="U84" s="4"/>
      <c r="V84" s="38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spans="1:37" ht="15" x14ac:dyDescent="0.2">
      <c r="A85" s="17" t="s">
        <v>136</v>
      </c>
      <c r="B85" s="4">
        <v>145</v>
      </c>
      <c r="C85" s="4">
        <v>145</v>
      </c>
      <c r="D85" s="4"/>
      <c r="E85" s="4">
        <v>320</v>
      </c>
      <c r="F85" s="4">
        <v>320</v>
      </c>
      <c r="G85" s="4"/>
      <c r="H85" s="4">
        <v>100</v>
      </c>
      <c r="I85" s="4">
        <v>233.15</v>
      </c>
      <c r="J85" s="4"/>
      <c r="K85" s="4">
        <v>100</v>
      </c>
      <c r="L85" s="4">
        <v>940</v>
      </c>
      <c r="M85" s="4"/>
      <c r="N85" s="4">
        <v>100</v>
      </c>
      <c r="O85" s="4">
        <v>150</v>
      </c>
      <c r="P85" s="4"/>
      <c r="Q85" s="4">
        <v>100</v>
      </c>
      <c r="R85" s="4">
        <v>125</v>
      </c>
      <c r="S85" s="4"/>
      <c r="T85" s="4">
        <v>100</v>
      </c>
      <c r="U85" s="4">
        <v>7.98</v>
      </c>
      <c r="V85" s="38"/>
      <c r="W85" s="4">
        <v>100</v>
      </c>
      <c r="X85" s="4"/>
      <c r="Y85" s="4"/>
      <c r="Z85" s="4">
        <v>100</v>
      </c>
      <c r="AA85" s="4">
        <v>2559</v>
      </c>
      <c r="AB85" s="4"/>
      <c r="AC85" s="4">
        <v>100</v>
      </c>
      <c r="AD85" s="4"/>
      <c r="AE85" s="4"/>
      <c r="AF85" s="4">
        <v>100</v>
      </c>
      <c r="AG85" s="4"/>
      <c r="AH85" s="4"/>
      <c r="AI85" s="4">
        <v>100</v>
      </c>
      <c r="AJ85" s="4"/>
      <c r="AK85" s="4">
        <v>0</v>
      </c>
    </row>
    <row r="86" spans="1:37" ht="15" x14ac:dyDescent="0.2">
      <c r="A86" s="17" t="s">
        <v>98</v>
      </c>
      <c r="B86" s="156">
        <v>500</v>
      </c>
      <c r="C86" s="156">
        <v>366</v>
      </c>
      <c r="D86" s="4"/>
      <c r="E86" s="156">
        <v>500</v>
      </c>
      <c r="F86" s="156">
        <v>461</v>
      </c>
      <c r="G86" s="4"/>
      <c r="H86" s="4">
        <v>500</v>
      </c>
      <c r="I86" s="4">
        <v>461.86</v>
      </c>
      <c r="J86" s="4"/>
      <c r="K86" s="4">
        <v>500</v>
      </c>
      <c r="L86" s="4">
        <v>461.86</v>
      </c>
      <c r="M86" s="4"/>
      <c r="N86" s="4">
        <v>500</v>
      </c>
      <c r="O86" s="4">
        <v>467.33</v>
      </c>
      <c r="P86" s="4"/>
      <c r="Q86" s="4">
        <v>500</v>
      </c>
      <c r="R86" s="4">
        <v>668.67</v>
      </c>
      <c r="S86" s="4"/>
      <c r="T86" s="4">
        <v>500</v>
      </c>
      <c r="U86" s="4">
        <v>1558.89</v>
      </c>
      <c r="V86" s="38"/>
      <c r="W86" s="4">
        <v>500</v>
      </c>
      <c r="X86" s="4">
        <v>1815.38</v>
      </c>
      <c r="Y86" s="4"/>
      <c r="Z86" s="4">
        <v>500</v>
      </c>
      <c r="AA86" s="4">
        <v>442.26</v>
      </c>
      <c r="AB86" s="4"/>
      <c r="AC86" s="4">
        <v>500</v>
      </c>
      <c r="AD86" s="4"/>
      <c r="AE86" s="4"/>
      <c r="AF86" s="4">
        <v>500</v>
      </c>
      <c r="AG86" s="4"/>
      <c r="AH86" s="4"/>
      <c r="AI86" s="4">
        <v>500</v>
      </c>
      <c r="AJ86" s="4"/>
      <c r="AK86" s="4">
        <v>0</v>
      </c>
    </row>
    <row r="87" spans="1:37" ht="15" x14ac:dyDescent="0.2">
      <c r="A87" s="13" t="s">
        <v>41</v>
      </c>
      <c r="B87" s="4">
        <v>150</v>
      </c>
      <c r="C87" s="4">
        <v>150</v>
      </c>
      <c r="D87" s="4"/>
      <c r="E87" s="4">
        <v>200</v>
      </c>
      <c r="F87" s="4"/>
      <c r="G87" s="4"/>
      <c r="H87" s="4">
        <v>200</v>
      </c>
      <c r="I87" s="4"/>
      <c r="J87" s="4"/>
      <c r="K87" s="4">
        <v>200</v>
      </c>
      <c r="L87" s="4"/>
      <c r="M87" s="4"/>
      <c r="N87" s="4">
        <v>200</v>
      </c>
      <c r="O87" s="4">
        <v>52.5</v>
      </c>
      <c r="P87" s="4"/>
      <c r="Q87" s="4">
        <v>200</v>
      </c>
      <c r="R87" s="4">
        <v>136</v>
      </c>
      <c r="S87" s="4"/>
      <c r="T87" s="4">
        <v>200</v>
      </c>
      <c r="U87" s="4">
        <v>250</v>
      </c>
      <c r="V87" s="38"/>
      <c r="W87" s="4">
        <v>200</v>
      </c>
      <c r="X87" s="4">
        <v>700</v>
      </c>
      <c r="Y87" s="4"/>
      <c r="Z87" s="4">
        <v>200</v>
      </c>
      <c r="AA87" s="4"/>
      <c r="AB87" s="4"/>
      <c r="AC87" s="4">
        <v>200</v>
      </c>
      <c r="AD87" s="4"/>
      <c r="AE87" s="4"/>
      <c r="AF87" s="4">
        <v>200</v>
      </c>
      <c r="AG87" s="4"/>
      <c r="AH87" s="4"/>
      <c r="AI87" s="4">
        <v>200</v>
      </c>
      <c r="AJ87" s="4"/>
      <c r="AK87" s="4">
        <v>0</v>
      </c>
    </row>
    <row r="88" spans="1:37" ht="15" x14ac:dyDescent="0.2">
      <c r="A88" s="13" t="s">
        <v>170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>
        <v>600</v>
      </c>
      <c r="V88" s="38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spans="1:37" ht="15" x14ac:dyDescent="0.25">
      <c r="A89" s="26" t="s">
        <v>44</v>
      </c>
      <c r="B89" s="9">
        <f t="shared" ref="B89:AK89" si="4">SUM(B32:B87)</f>
        <v>126935.34000000001</v>
      </c>
      <c r="C89" s="9">
        <f t="shared" si="4"/>
        <v>121375.59999999999</v>
      </c>
      <c r="D89" s="9">
        <f t="shared" si="4"/>
        <v>0</v>
      </c>
      <c r="E89" s="9">
        <f t="shared" si="4"/>
        <v>135891.03999999998</v>
      </c>
      <c r="F89" s="9">
        <f t="shared" si="4"/>
        <v>118833.98999999999</v>
      </c>
      <c r="G89" s="9">
        <f t="shared" si="4"/>
        <v>0</v>
      </c>
      <c r="H89" s="9">
        <f t="shared" si="4"/>
        <v>131379.28</v>
      </c>
      <c r="I89" s="9">
        <f t="shared" si="4"/>
        <v>123962.54999999997</v>
      </c>
      <c r="J89" s="9">
        <f t="shared" si="4"/>
        <v>0</v>
      </c>
      <c r="K89" s="9">
        <f t="shared" si="4"/>
        <v>131691.28</v>
      </c>
      <c r="L89" s="9">
        <f t="shared" si="4"/>
        <v>107646.38999999998</v>
      </c>
      <c r="M89" s="9">
        <f t="shared" si="4"/>
        <v>0</v>
      </c>
      <c r="N89" s="9">
        <f t="shared" si="4"/>
        <v>129623.28</v>
      </c>
      <c r="O89" s="9">
        <f t="shared" si="4"/>
        <v>134396.13999999998</v>
      </c>
      <c r="P89" s="9">
        <f t="shared" si="4"/>
        <v>0</v>
      </c>
      <c r="Q89" s="9">
        <f t="shared" si="4"/>
        <v>162434.45000000001</v>
      </c>
      <c r="R89" s="9">
        <f t="shared" si="4"/>
        <v>164933.07999999999</v>
      </c>
      <c r="S89" s="9">
        <f t="shared" si="4"/>
        <v>0</v>
      </c>
      <c r="T89" s="9">
        <f t="shared" si="4"/>
        <v>134759.09999999998</v>
      </c>
      <c r="U89" s="9">
        <f t="shared" si="4"/>
        <v>109267.21999999997</v>
      </c>
      <c r="V89" s="9">
        <f t="shared" si="4"/>
        <v>0</v>
      </c>
      <c r="W89" s="9">
        <f t="shared" si="4"/>
        <v>131064.14</v>
      </c>
      <c r="X89" s="9">
        <f t="shared" si="4"/>
        <v>138445.72999999998</v>
      </c>
      <c r="Y89" s="9">
        <f t="shared" si="4"/>
        <v>0</v>
      </c>
      <c r="Z89" s="9">
        <f t="shared" si="4"/>
        <v>111780.83999999998</v>
      </c>
      <c r="AA89" s="9">
        <f t="shared" si="4"/>
        <v>10983.38</v>
      </c>
      <c r="AB89" s="9">
        <f t="shared" si="4"/>
        <v>0</v>
      </c>
      <c r="AC89" s="9">
        <f t="shared" si="4"/>
        <v>110230.83999999998</v>
      </c>
      <c r="AD89" s="9">
        <f t="shared" si="4"/>
        <v>0</v>
      </c>
      <c r="AE89" s="9">
        <f t="shared" si="4"/>
        <v>0</v>
      </c>
      <c r="AF89" s="9">
        <f t="shared" si="4"/>
        <v>117230.83999999998</v>
      </c>
      <c r="AG89" s="9">
        <f t="shared" si="4"/>
        <v>0</v>
      </c>
      <c r="AH89" s="9">
        <f t="shared" si="4"/>
        <v>0</v>
      </c>
      <c r="AI89" s="9">
        <f t="shared" si="4"/>
        <v>117230.83999999998</v>
      </c>
      <c r="AJ89" s="9">
        <f t="shared" si="4"/>
        <v>0</v>
      </c>
      <c r="AK89" s="9">
        <f t="shared" si="4"/>
        <v>0</v>
      </c>
    </row>
    <row r="90" spans="1:37" ht="15" x14ac:dyDescent="0.25">
      <c r="A90" s="27" t="s">
        <v>8</v>
      </c>
      <c r="B90" s="7">
        <f t="shared" ref="B90:AK90" si="5">B15-B89</f>
        <v>173064.65999999997</v>
      </c>
      <c r="C90" s="7">
        <f t="shared" si="5"/>
        <v>131112.82</v>
      </c>
      <c r="D90" s="7">
        <f t="shared" si="5"/>
        <v>0</v>
      </c>
      <c r="E90" s="7">
        <f t="shared" si="5"/>
        <v>164108.96000000002</v>
      </c>
      <c r="F90" s="7">
        <f t="shared" si="5"/>
        <v>57928.570000000007</v>
      </c>
      <c r="G90" s="7">
        <f t="shared" si="5"/>
        <v>0</v>
      </c>
      <c r="H90" s="7">
        <f t="shared" si="5"/>
        <v>218620.72</v>
      </c>
      <c r="I90" s="7">
        <f t="shared" si="5"/>
        <v>114156.28000000004</v>
      </c>
      <c r="J90" s="7">
        <f t="shared" si="5"/>
        <v>0</v>
      </c>
      <c r="K90" s="7">
        <f t="shared" si="5"/>
        <v>433308.72</v>
      </c>
      <c r="L90" s="7">
        <f t="shared" si="5"/>
        <v>167237.80000000002</v>
      </c>
      <c r="M90" s="7">
        <f t="shared" si="5"/>
        <v>0</v>
      </c>
      <c r="N90" s="7">
        <f t="shared" si="5"/>
        <v>435376.72</v>
      </c>
      <c r="O90" s="7">
        <f t="shared" si="5"/>
        <v>531387.05999999994</v>
      </c>
      <c r="P90" s="7">
        <f t="shared" si="5"/>
        <v>0</v>
      </c>
      <c r="Q90" s="7">
        <f t="shared" si="5"/>
        <v>402565.55</v>
      </c>
      <c r="R90" s="7">
        <f t="shared" si="5"/>
        <v>326014.68000000005</v>
      </c>
      <c r="S90" s="7">
        <f t="shared" si="5"/>
        <v>0</v>
      </c>
      <c r="T90" s="7">
        <f t="shared" si="5"/>
        <v>299417.47000000003</v>
      </c>
      <c r="U90" s="7">
        <f t="shared" si="5"/>
        <v>466904.30000000005</v>
      </c>
      <c r="V90" s="7">
        <f t="shared" si="5"/>
        <v>0</v>
      </c>
      <c r="W90" s="7">
        <f t="shared" si="5"/>
        <v>289935.86</v>
      </c>
      <c r="X90" s="7">
        <f t="shared" si="5"/>
        <v>127994.27000000002</v>
      </c>
      <c r="Y90" s="7">
        <f t="shared" si="5"/>
        <v>0</v>
      </c>
      <c r="Z90" s="7">
        <f t="shared" si="5"/>
        <v>309219.16000000003</v>
      </c>
      <c r="AA90" s="7">
        <f t="shared" si="5"/>
        <v>-10983.38</v>
      </c>
      <c r="AB90" s="7">
        <f t="shared" si="5"/>
        <v>0</v>
      </c>
      <c r="AC90" s="7">
        <f t="shared" si="5"/>
        <v>310769.16000000003</v>
      </c>
      <c r="AD90" s="7">
        <f t="shared" si="5"/>
        <v>0</v>
      </c>
      <c r="AE90" s="7">
        <f t="shared" si="5"/>
        <v>0</v>
      </c>
      <c r="AF90" s="7">
        <f t="shared" si="5"/>
        <v>303769.16000000003</v>
      </c>
      <c r="AG90" s="7">
        <f t="shared" si="5"/>
        <v>0</v>
      </c>
      <c r="AH90" s="7">
        <f t="shared" si="5"/>
        <v>0</v>
      </c>
      <c r="AI90" s="7">
        <f t="shared" si="5"/>
        <v>303769.16000000003</v>
      </c>
      <c r="AJ90" s="7">
        <f t="shared" si="5"/>
        <v>0</v>
      </c>
      <c r="AK90" s="7">
        <f t="shared" si="5"/>
        <v>0</v>
      </c>
    </row>
    <row r="91" spans="1:37" ht="15" x14ac:dyDescent="0.25">
      <c r="A91" s="27" t="s">
        <v>45</v>
      </c>
      <c r="B91" s="161">
        <f t="shared" ref="B91:AK91" si="6">B15-B27-B89</f>
        <v>-28581.510000000024</v>
      </c>
      <c r="C91" s="161">
        <f t="shared" si="6"/>
        <v>69367.650000000009</v>
      </c>
      <c r="D91" s="161">
        <f t="shared" si="6"/>
        <v>0</v>
      </c>
      <c r="E91" s="161">
        <f t="shared" si="6"/>
        <v>-51203.209999999963</v>
      </c>
      <c r="F91" s="161">
        <f t="shared" si="6"/>
        <v>-145183.59999999998</v>
      </c>
      <c r="G91" s="161">
        <f t="shared" si="6"/>
        <v>0</v>
      </c>
      <c r="H91" s="161">
        <f t="shared" si="6"/>
        <v>16420.72</v>
      </c>
      <c r="I91" s="160">
        <f t="shared" si="6"/>
        <v>-41704.949999999939</v>
      </c>
      <c r="J91" s="172">
        <f t="shared" si="6"/>
        <v>0</v>
      </c>
      <c r="K91" s="161">
        <f t="shared" si="6"/>
        <v>230588.72</v>
      </c>
      <c r="L91" s="161">
        <f t="shared" si="6"/>
        <v>45282.700000000012</v>
      </c>
      <c r="M91" s="161">
        <f t="shared" si="6"/>
        <v>0</v>
      </c>
      <c r="N91" s="161">
        <f t="shared" si="6"/>
        <v>232656.72</v>
      </c>
      <c r="O91" s="161">
        <f t="shared" si="6"/>
        <v>203545.10999999996</v>
      </c>
      <c r="P91" s="161">
        <f t="shared" si="6"/>
        <v>0</v>
      </c>
      <c r="Q91" s="161">
        <f t="shared" si="6"/>
        <v>200365.55</v>
      </c>
      <c r="R91" s="161">
        <f t="shared" si="6"/>
        <v>130175.22000000006</v>
      </c>
      <c r="S91" s="161">
        <f t="shared" si="6"/>
        <v>0</v>
      </c>
      <c r="T91" s="161">
        <f t="shared" si="6"/>
        <v>96717.47000000003</v>
      </c>
      <c r="U91" s="161">
        <f t="shared" si="6"/>
        <v>214863.67000000004</v>
      </c>
      <c r="V91" s="161">
        <f t="shared" si="6"/>
        <v>0</v>
      </c>
      <c r="W91" s="161">
        <f t="shared" si="6"/>
        <v>287735.86</v>
      </c>
      <c r="X91" s="161">
        <f t="shared" si="6"/>
        <v>-179418.57999999996</v>
      </c>
      <c r="Y91" s="161">
        <f t="shared" si="6"/>
        <v>0</v>
      </c>
      <c r="Z91" s="161">
        <f t="shared" si="6"/>
        <v>307019.16000000003</v>
      </c>
      <c r="AA91" s="161">
        <f t="shared" si="6"/>
        <v>-11383.38</v>
      </c>
      <c r="AB91" s="161">
        <f t="shared" si="6"/>
        <v>0</v>
      </c>
      <c r="AC91" s="161">
        <f t="shared" si="6"/>
        <v>308569.16000000003</v>
      </c>
      <c r="AD91" s="161">
        <f t="shared" si="6"/>
        <v>0</v>
      </c>
      <c r="AE91" s="161">
        <f t="shared" si="6"/>
        <v>0</v>
      </c>
      <c r="AF91" s="161">
        <f t="shared" si="6"/>
        <v>301569.16000000003</v>
      </c>
      <c r="AG91" s="161">
        <f t="shared" si="6"/>
        <v>0</v>
      </c>
      <c r="AH91" s="161">
        <f t="shared" si="6"/>
        <v>0</v>
      </c>
      <c r="AI91" s="161">
        <f t="shared" si="6"/>
        <v>301569.16000000003</v>
      </c>
      <c r="AJ91" s="161">
        <f t="shared" si="6"/>
        <v>0</v>
      </c>
      <c r="AK91" s="161">
        <f t="shared" si="6"/>
        <v>0</v>
      </c>
    </row>
    <row r="92" spans="1:37" x14ac:dyDescent="0.2">
      <c r="B92" s="165"/>
      <c r="C92" s="165"/>
    </row>
    <row r="93" spans="1:37" s="3" customFormat="1" x14ac:dyDescent="0.2">
      <c r="A93" s="3" t="s">
        <v>31</v>
      </c>
      <c r="B93" s="171">
        <f t="shared" ref="B93:AK93" si="7">B89/B15</f>
        <v>0.42311780000000004</v>
      </c>
      <c r="C93" s="171">
        <f t="shared" si="7"/>
        <v>0.48071749191507473</v>
      </c>
      <c r="D93" s="171" t="e">
        <f t="shared" si="7"/>
        <v>#DIV/0!</v>
      </c>
      <c r="E93" s="171">
        <f t="shared" si="7"/>
        <v>0.45297013333333325</v>
      </c>
      <c r="F93" s="171">
        <f t="shared" si="7"/>
        <v>0.67228031773244279</v>
      </c>
      <c r="G93" s="171" t="e">
        <f t="shared" si="7"/>
        <v>#DIV/0!</v>
      </c>
      <c r="H93" s="171">
        <f t="shared" si="7"/>
        <v>0.37536937142857141</v>
      </c>
      <c r="I93" s="171">
        <f t="shared" si="7"/>
        <v>0.52059112670761887</v>
      </c>
      <c r="J93" s="171" t="e">
        <f t="shared" si="7"/>
        <v>#DIV/0!</v>
      </c>
      <c r="K93" s="171">
        <f t="shared" si="7"/>
        <v>0.23308191150442478</v>
      </c>
      <c r="L93" s="171">
        <f t="shared" si="7"/>
        <v>0.39160633428936015</v>
      </c>
      <c r="M93" s="171" t="e">
        <f t="shared" si="7"/>
        <v>#DIV/0!</v>
      </c>
      <c r="N93" s="171">
        <f t="shared" si="7"/>
        <v>0.22942173451327433</v>
      </c>
      <c r="O93" s="171">
        <f t="shared" si="7"/>
        <v>0.20186171714756393</v>
      </c>
      <c r="P93" s="171" t="e">
        <f t="shared" si="7"/>
        <v>#DIV/0!</v>
      </c>
      <c r="Q93" s="171">
        <f t="shared" si="7"/>
        <v>0.28749460176991154</v>
      </c>
      <c r="R93" s="171">
        <f t="shared" si="7"/>
        <v>0.33594832981822748</v>
      </c>
      <c r="S93" s="171" t="e">
        <f t="shared" si="7"/>
        <v>#DIV/0!</v>
      </c>
      <c r="T93" s="171">
        <f t="shared" si="7"/>
        <v>0.31037856326517105</v>
      </c>
      <c r="U93" s="171">
        <f t="shared" si="7"/>
        <v>0.18964356308343733</v>
      </c>
      <c r="V93" s="171" t="e">
        <f t="shared" si="7"/>
        <v>#DIV/0!</v>
      </c>
      <c r="W93" s="171">
        <f t="shared" si="7"/>
        <v>0.31131624703087885</v>
      </c>
      <c r="X93" s="171">
        <f t="shared" si="7"/>
        <v>0.51961315868488211</v>
      </c>
      <c r="Y93" s="171" t="e">
        <f t="shared" si="7"/>
        <v>#DIV/0!</v>
      </c>
      <c r="Z93" s="171">
        <f t="shared" si="7"/>
        <v>0.26551268408551065</v>
      </c>
      <c r="AA93" s="171" t="e">
        <f t="shared" si="7"/>
        <v>#DIV/0!</v>
      </c>
      <c r="AB93" s="171" t="e">
        <f t="shared" si="7"/>
        <v>#DIV/0!</v>
      </c>
      <c r="AC93" s="171">
        <f t="shared" si="7"/>
        <v>0.26183097387173393</v>
      </c>
      <c r="AD93" s="171" t="e">
        <f t="shared" si="7"/>
        <v>#DIV/0!</v>
      </c>
      <c r="AE93" s="171" t="e">
        <f t="shared" si="7"/>
        <v>#DIV/0!</v>
      </c>
      <c r="AF93" s="171">
        <f t="shared" si="7"/>
        <v>0.27845805225653203</v>
      </c>
      <c r="AG93" s="171" t="e">
        <f t="shared" si="7"/>
        <v>#DIV/0!</v>
      </c>
      <c r="AH93" s="171" t="e">
        <f t="shared" si="7"/>
        <v>#DIV/0!</v>
      </c>
      <c r="AI93" s="171">
        <f t="shared" si="7"/>
        <v>0.27845805225653203</v>
      </c>
      <c r="AJ93" s="171" t="e">
        <f t="shared" si="7"/>
        <v>#DIV/0!</v>
      </c>
      <c r="AK93" s="171" t="e">
        <f t="shared" si="7"/>
        <v>#DIV/0!</v>
      </c>
    </row>
    <row r="94" spans="1:37" x14ac:dyDescent="0.2"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41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spans="1:37" x14ac:dyDescent="0.2"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41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spans="1:37" x14ac:dyDescent="0.2">
      <c r="A96" s="28" t="s">
        <v>131</v>
      </c>
      <c r="B96" s="28"/>
      <c r="C96" s="28"/>
      <c r="D96" s="28"/>
      <c r="E96" s="60"/>
      <c r="F96" s="60"/>
    </row>
    <row r="97" spans="1:7" x14ac:dyDescent="0.2">
      <c r="A97" s="121"/>
      <c r="B97" s="122" t="s">
        <v>100</v>
      </c>
      <c r="C97" s="122" t="s">
        <v>101</v>
      </c>
      <c r="D97" s="121"/>
      <c r="E97" s="60"/>
      <c r="F97" s="60"/>
    </row>
    <row r="98" spans="1:7" x14ac:dyDescent="0.2">
      <c r="A98" s="19" t="s">
        <v>32</v>
      </c>
      <c r="B98" s="124">
        <f>B15+E15+H15+K15+N15+Q15+T15+W15+Z15+AC15+AF15+AI15</f>
        <v>5184176.57</v>
      </c>
      <c r="C98" s="137">
        <f>C15+F15+I15+L15+O15+R15+U15+X15+AA15+AD15+AG15+AJ15</f>
        <v>2941596.48</v>
      </c>
      <c r="D98" s="19"/>
    </row>
    <row r="99" spans="1:7" x14ac:dyDescent="0.2">
      <c r="A99" s="19" t="s">
        <v>141</v>
      </c>
      <c r="B99" s="162">
        <f>B27+E27+H27+K27+N27+Q27+T27+W27+Z27+AC27+AF27+AI27</f>
        <v>1440498.3399999999</v>
      </c>
      <c r="C99" s="12">
        <f>C27+F27+I27+L27+O27+R27+U27+X27+AA27+AD27+AG27+AJ27</f>
        <v>1626208.56</v>
      </c>
      <c r="D99" s="42">
        <f>C99/C98*100</f>
        <v>55.283196422644622</v>
      </c>
      <c r="E99" s="1" t="s">
        <v>142</v>
      </c>
    </row>
    <row r="100" spans="1:7" ht="15" x14ac:dyDescent="0.25">
      <c r="A100" s="20" t="s">
        <v>143</v>
      </c>
      <c r="B100" s="163">
        <f>B98-B99</f>
        <v>3743678.2300000004</v>
      </c>
      <c r="C100" s="164">
        <f>C98-C99</f>
        <v>1315387.92</v>
      </c>
      <c r="D100" s="42"/>
    </row>
    <row r="101" spans="1:7" x14ac:dyDescent="0.2">
      <c r="A101" s="19" t="s">
        <v>33</v>
      </c>
      <c r="B101" s="125">
        <f>B89+E89+H89+K89+N89+Q89+T89+W89+Z89+AC89+AF89+AI89</f>
        <v>1540251.2700000005</v>
      </c>
      <c r="C101" s="118">
        <f>C89+F89+I89+L89+O89+R89+U89+X89+AA89+AD89+AG89+AJ89</f>
        <v>1029844.0799999998</v>
      </c>
      <c r="D101" s="42">
        <f>C101/C98*100</f>
        <v>35.009699222919927</v>
      </c>
      <c r="E101" s="1" t="s">
        <v>69</v>
      </c>
    </row>
    <row r="102" spans="1:7" x14ac:dyDescent="0.2">
      <c r="A102" s="20" t="s">
        <v>42</v>
      </c>
      <c r="B102" s="139">
        <f>B100-B101</f>
        <v>2203426.96</v>
      </c>
      <c r="C102" s="138">
        <f>C100-C101</f>
        <v>285543.84000000008</v>
      </c>
      <c r="D102" s="127"/>
    </row>
    <row r="103" spans="1:7" x14ac:dyDescent="0.2">
      <c r="A103" s="21" t="s">
        <v>35</v>
      </c>
      <c r="B103" s="55"/>
      <c r="C103" s="55"/>
      <c r="D103" s="126">
        <f>C102/C98</f>
        <v>9.7071043544354557E-2</v>
      </c>
      <c r="E103" s="1" t="s">
        <v>55</v>
      </c>
    </row>
    <row r="104" spans="1:7" ht="15" thickBot="1" x14ac:dyDescent="0.25">
      <c r="A104" s="19" t="s">
        <v>144</v>
      </c>
      <c r="B104" s="55"/>
      <c r="C104" s="55"/>
      <c r="D104" s="119">
        <f>C102/7</f>
        <v>40791.977142857155</v>
      </c>
      <c r="E104" s="1" t="s">
        <v>171</v>
      </c>
      <c r="G104" s="25"/>
    </row>
    <row r="105" spans="1:7" ht="15.75" thickBot="1" x14ac:dyDescent="0.3">
      <c r="C105" s="56"/>
      <c r="D105" s="57"/>
      <c r="E105" s="58"/>
      <c r="G105" s="33"/>
    </row>
    <row r="106" spans="1:7" ht="15" x14ac:dyDescent="0.25">
      <c r="A106" s="59"/>
      <c r="C106" s="61">
        <f>C98/7</f>
        <v>420228.06857142859</v>
      </c>
      <c r="D106" s="62" t="s">
        <v>67</v>
      </c>
      <c r="E106" s="63"/>
    </row>
    <row r="107" spans="1:7" ht="15" x14ac:dyDescent="0.25">
      <c r="A107" s="149"/>
      <c r="C107" s="134">
        <f>C106*10%</f>
        <v>42022.806857142859</v>
      </c>
      <c r="D107" s="1" t="s">
        <v>145</v>
      </c>
      <c r="E107" s="128"/>
    </row>
    <row r="108" spans="1:7" ht="15" x14ac:dyDescent="0.25">
      <c r="C108" s="173">
        <f>C106+C107</f>
        <v>462250.87542857148</v>
      </c>
      <c r="D108" s="136" t="s">
        <v>105</v>
      </c>
    </row>
    <row r="109" spans="1:7" x14ac:dyDescent="0.2">
      <c r="C109" s="135"/>
    </row>
    <row r="110" spans="1:7" x14ac:dyDescent="0.2">
      <c r="C110" s="129">
        <f>C101+C99</f>
        <v>2656052.6399999997</v>
      </c>
      <c r="D110" s="130" t="s">
        <v>172</v>
      </c>
      <c r="E110" s="131"/>
    </row>
    <row r="111" spans="1:7" ht="15" x14ac:dyDescent="0.25">
      <c r="C111" s="166">
        <f>C110/7</f>
        <v>379436.09142857138</v>
      </c>
      <c r="D111" s="136" t="s">
        <v>146</v>
      </c>
      <c r="E111" s="133"/>
    </row>
  </sheetData>
  <mergeCells count="26">
    <mergeCell ref="S4:S6"/>
    <mergeCell ref="A2:J2"/>
    <mergeCell ref="A4:A5"/>
    <mergeCell ref="B4:C5"/>
    <mergeCell ref="D4:D6"/>
    <mergeCell ref="E4:F5"/>
    <mergeCell ref="G4:G6"/>
    <mergeCell ref="H4:I5"/>
    <mergeCell ref="J4:J6"/>
    <mergeCell ref="K4:L5"/>
    <mergeCell ref="M4:M6"/>
    <mergeCell ref="N4:O5"/>
    <mergeCell ref="P4:P6"/>
    <mergeCell ref="Q4:R5"/>
    <mergeCell ref="AK4:AK6"/>
    <mergeCell ref="T4:U5"/>
    <mergeCell ref="V4:V6"/>
    <mergeCell ref="W4:X5"/>
    <mergeCell ref="Y4:Y6"/>
    <mergeCell ref="Z4:AA5"/>
    <mergeCell ref="AB4:AB6"/>
    <mergeCell ref="AC4:AD5"/>
    <mergeCell ref="AE4:AE6"/>
    <mergeCell ref="AF4:AG5"/>
    <mergeCell ref="AH4:AH6"/>
    <mergeCell ref="AI4:AJ5"/>
  </mergeCells>
  <conditionalFormatting sqref="B93:AK9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ellIs" dxfId="2" priority="2" operator="greaterThan">
      <formula>40.1</formula>
    </cfRule>
    <cfRule type="cellIs" dxfId="1" priority="3" operator="between">
      <formula>25.1</formula>
      <formula>40</formula>
    </cfRule>
    <cfRule type="cellIs" dxfId="0" priority="4" operator="lessThan">
      <formula>25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B4483-17F7-48C5-B508-066E8BD98DA8}">
  <dimension ref="A1:I45"/>
  <sheetViews>
    <sheetView showGridLines="0" workbookViewId="0">
      <pane ySplit="3" topLeftCell="A4" activePane="bottomLeft" state="frozen"/>
      <selection pane="bottomLeft" activeCell="G14" sqref="G14"/>
    </sheetView>
  </sheetViews>
  <sheetFormatPr defaultColWidth="9.140625" defaultRowHeight="12.75" x14ac:dyDescent="0.2"/>
  <cols>
    <col min="1" max="1" width="12.140625" style="64" customWidth="1"/>
    <col min="2" max="2" width="14.42578125" style="90" customWidth="1"/>
    <col min="3" max="3" width="13.42578125" style="91" customWidth="1"/>
    <col min="4" max="4" width="13.7109375" style="65" customWidth="1"/>
    <col min="5" max="5" width="4.28515625" style="65" customWidth="1"/>
    <col min="6" max="6" width="13.28515625" style="64" bestFit="1" customWidth="1"/>
    <col min="7" max="7" width="15.5703125" style="90" customWidth="1"/>
    <col min="8" max="8" width="14.5703125" style="91" customWidth="1"/>
    <col min="9" max="9" width="12.28515625" style="65" customWidth="1"/>
    <col min="10" max="16384" width="9.140625" style="66"/>
  </cols>
  <sheetData>
    <row r="1" spans="1:9" ht="15.75" x14ac:dyDescent="0.25">
      <c r="B1" s="183" t="s">
        <v>86</v>
      </c>
      <c r="C1" s="183"/>
      <c r="D1" s="183"/>
      <c r="E1" s="183"/>
      <c r="F1" s="183"/>
      <c r="G1" s="183"/>
      <c r="H1" s="183"/>
    </row>
    <row r="3" spans="1:9" ht="15.75" thickBot="1" x14ac:dyDescent="0.3">
      <c r="B3" s="181">
        <v>45870</v>
      </c>
      <c r="C3" s="182"/>
      <c r="D3" s="182"/>
      <c r="E3" s="67"/>
      <c r="G3" s="181">
        <v>45901</v>
      </c>
      <c r="H3" s="182"/>
      <c r="I3" s="182"/>
    </row>
    <row r="4" spans="1:9" ht="13.5" thickBot="1" x14ac:dyDescent="0.25">
      <c r="A4" s="68" t="s">
        <v>22</v>
      </c>
      <c r="B4" s="69" t="s">
        <v>23</v>
      </c>
      <c r="C4" s="70" t="s">
        <v>12</v>
      </c>
      <c r="D4" s="71" t="s">
        <v>24</v>
      </c>
      <c r="E4" s="72"/>
      <c r="F4" s="73" t="s">
        <v>22</v>
      </c>
      <c r="G4" s="69" t="s">
        <v>23</v>
      </c>
      <c r="H4" s="70" t="s">
        <v>12</v>
      </c>
      <c r="I4" s="74" t="s">
        <v>24</v>
      </c>
    </row>
    <row r="5" spans="1:9" x14ac:dyDescent="0.2">
      <c r="A5" s="75">
        <v>45870</v>
      </c>
      <c r="B5" s="76">
        <v>16192.31</v>
      </c>
      <c r="C5" s="77">
        <v>14500</v>
      </c>
      <c r="D5" s="78">
        <f t="shared" ref="D5:D36" si="0">IF(C5&gt;0,(C5/B5),"")</f>
        <v>0.89548680824416038</v>
      </c>
      <c r="F5" s="79">
        <v>45901</v>
      </c>
      <c r="G5" s="76"/>
      <c r="H5" s="77"/>
      <c r="I5" s="80"/>
    </row>
    <row r="6" spans="1:9" x14ac:dyDescent="0.2">
      <c r="A6" s="75">
        <v>45871</v>
      </c>
      <c r="B6" s="76">
        <v>16192.31</v>
      </c>
      <c r="C6" s="77">
        <v>13000</v>
      </c>
      <c r="D6" s="78">
        <f t="shared" si="0"/>
        <v>0.80285024187407483</v>
      </c>
      <c r="F6" s="79">
        <v>45902</v>
      </c>
      <c r="G6" s="76"/>
      <c r="H6" s="77"/>
      <c r="I6" s="78" t="str">
        <f t="shared" ref="I6:I28" si="1">IF(H6&gt;0,(H6/G6),"")</f>
        <v/>
      </c>
    </row>
    <row r="7" spans="1:9" x14ac:dyDescent="0.2">
      <c r="A7" s="75">
        <v>45872</v>
      </c>
      <c r="B7" s="76"/>
      <c r="C7" s="77"/>
      <c r="D7" s="78" t="str">
        <f t="shared" si="0"/>
        <v/>
      </c>
      <c r="F7" s="79">
        <v>45903</v>
      </c>
      <c r="G7" s="76"/>
      <c r="H7" s="77"/>
      <c r="I7" s="78"/>
    </row>
    <row r="8" spans="1:9" x14ac:dyDescent="0.2">
      <c r="A8" s="75">
        <v>45873</v>
      </c>
      <c r="B8" s="76">
        <v>16192.31</v>
      </c>
      <c r="C8" s="81"/>
      <c r="D8" s="78" t="str">
        <f t="shared" si="0"/>
        <v/>
      </c>
      <c r="F8" s="79">
        <v>45904</v>
      </c>
      <c r="G8" s="76"/>
      <c r="H8" s="81"/>
      <c r="I8" s="78"/>
    </row>
    <row r="9" spans="1:9" x14ac:dyDescent="0.2">
      <c r="A9" s="75">
        <v>45874</v>
      </c>
      <c r="B9" s="76">
        <v>16192.31</v>
      </c>
      <c r="C9" s="77"/>
      <c r="D9" s="78" t="str">
        <f t="shared" si="0"/>
        <v/>
      </c>
      <c r="F9" s="79">
        <v>45905</v>
      </c>
      <c r="G9" s="76"/>
      <c r="H9" s="77"/>
      <c r="I9" s="78"/>
    </row>
    <row r="10" spans="1:9" x14ac:dyDescent="0.2">
      <c r="A10" s="75">
        <v>45875</v>
      </c>
      <c r="B10" s="76">
        <v>16192.31</v>
      </c>
      <c r="C10" s="77"/>
      <c r="D10" s="78" t="str">
        <f t="shared" si="0"/>
        <v/>
      </c>
      <c r="F10" s="79">
        <v>45906</v>
      </c>
      <c r="G10" s="76"/>
      <c r="H10" s="77"/>
      <c r="I10" s="78"/>
    </row>
    <row r="11" spans="1:9" x14ac:dyDescent="0.2">
      <c r="A11" s="75">
        <v>45876</v>
      </c>
      <c r="B11" s="76">
        <v>16192.31</v>
      </c>
      <c r="C11" s="77"/>
      <c r="D11" s="78" t="str">
        <f t="shared" si="0"/>
        <v/>
      </c>
      <c r="F11" s="79">
        <v>45907</v>
      </c>
      <c r="G11" s="76"/>
      <c r="H11" s="77"/>
      <c r="I11" s="78"/>
    </row>
    <row r="12" spans="1:9" x14ac:dyDescent="0.2">
      <c r="A12" s="75">
        <v>45877</v>
      </c>
      <c r="B12" s="76">
        <v>16192.31</v>
      </c>
      <c r="C12" s="77"/>
      <c r="D12" s="78" t="str">
        <f t="shared" si="0"/>
        <v/>
      </c>
      <c r="F12" s="79">
        <v>45908</v>
      </c>
      <c r="G12" s="76"/>
      <c r="H12" s="77"/>
      <c r="I12" s="78"/>
    </row>
    <row r="13" spans="1:9" x14ac:dyDescent="0.2">
      <c r="A13" s="75">
        <v>45878</v>
      </c>
      <c r="B13" s="76">
        <v>16192.31</v>
      </c>
      <c r="C13" s="77"/>
      <c r="D13" s="78" t="str">
        <f t="shared" si="0"/>
        <v/>
      </c>
      <c r="F13" s="79">
        <v>45909</v>
      </c>
      <c r="G13" s="76"/>
      <c r="H13" s="77"/>
      <c r="I13" s="78" t="str">
        <f t="shared" si="1"/>
        <v/>
      </c>
    </row>
    <row r="14" spans="1:9" x14ac:dyDescent="0.2">
      <c r="A14" s="75">
        <v>45879</v>
      </c>
      <c r="B14" s="76"/>
      <c r="C14" s="77"/>
      <c r="D14" s="78" t="str">
        <f t="shared" si="0"/>
        <v/>
      </c>
      <c r="F14" s="79">
        <v>45910</v>
      </c>
      <c r="G14" s="76"/>
      <c r="H14" s="77"/>
      <c r="I14" s="78" t="str">
        <f t="shared" si="1"/>
        <v/>
      </c>
    </row>
    <row r="15" spans="1:9" x14ac:dyDescent="0.2">
      <c r="A15" s="75">
        <v>45880</v>
      </c>
      <c r="B15" s="76">
        <v>16192.31</v>
      </c>
      <c r="C15" s="82"/>
      <c r="D15" s="78" t="str">
        <f t="shared" si="0"/>
        <v/>
      </c>
      <c r="F15" s="79">
        <v>45911</v>
      </c>
      <c r="G15" s="76"/>
      <c r="H15" s="82"/>
      <c r="I15" s="78" t="str">
        <f t="shared" si="1"/>
        <v/>
      </c>
    </row>
    <row r="16" spans="1:9" x14ac:dyDescent="0.2">
      <c r="A16" s="75">
        <v>45881</v>
      </c>
      <c r="B16" s="76">
        <v>16192.31</v>
      </c>
      <c r="C16" s="82"/>
      <c r="D16" s="78" t="str">
        <f t="shared" si="0"/>
        <v/>
      </c>
      <c r="F16" s="79">
        <v>45912</v>
      </c>
      <c r="G16" s="76"/>
      <c r="H16" s="82"/>
      <c r="I16" s="78" t="str">
        <f t="shared" si="1"/>
        <v/>
      </c>
    </row>
    <row r="17" spans="1:9" x14ac:dyDescent="0.2">
      <c r="A17" s="75">
        <v>45882</v>
      </c>
      <c r="B17" s="76">
        <v>16192.31</v>
      </c>
      <c r="C17" s="83"/>
      <c r="D17" s="78" t="str">
        <f t="shared" si="0"/>
        <v/>
      </c>
      <c r="F17" s="79">
        <v>45913</v>
      </c>
      <c r="G17" s="76"/>
      <c r="H17" s="83"/>
      <c r="I17" s="78" t="str">
        <f t="shared" si="1"/>
        <v/>
      </c>
    </row>
    <row r="18" spans="1:9" x14ac:dyDescent="0.2">
      <c r="A18" s="75">
        <v>45883</v>
      </c>
      <c r="B18" s="76">
        <v>16192.31</v>
      </c>
      <c r="C18" s="84"/>
      <c r="D18" s="78" t="str">
        <f t="shared" si="0"/>
        <v/>
      </c>
      <c r="F18" s="79">
        <v>45914</v>
      </c>
      <c r="G18" s="76"/>
      <c r="H18" s="84"/>
      <c r="I18" s="78" t="str">
        <f t="shared" si="1"/>
        <v/>
      </c>
    </row>
    <row r="19" spans="1:9" x14ac:dyDescent="0.2">
      <c r="A19" s="75">
        <v>45884</v>
      </c>
      <c r="B19" s="76">
        <v>16192.31</v>
      </c>
      <c r="C19" s="84"/>
      <c r="D19" s="78" t="str">
        <f t="shared" si="0"/>
        <v/>
      </c>
      <c r="F19" s="79">
        <v>45915</v>
      </c>
      <c r="G19" s="76"/>
      <c r="H19" s="84"/>
      <c r="I19" s="78" t="str">
        <f t="shared" si="1"/>
        <v/>
      </c>
    </row>
    <row r="20" spans="1:9" x14ac:dyDescent="0.2">
      <c r="A20" s="75">
        <v>45885</v>
      </c>
      <c r="B20" s="76">
        <v>16192.31</v>
      </c>
      <c r="C20" s="84"/>
      <c r="D20" s="78" t="str">
        <f t="shared" si="0"/>
        <v/>
      </c>
      <c r="F20" s="79">
        <v>45916</v>
      </c>
      <c r="G20" s="76"/>
      <c r="H20" s="84"/>
      <c r="I20" s="78" t="str">
        <f t="shared" si="1"/>
        <v/>
      </c>
    </row>
    <row r="21" spans="1:9" x14ac:dyDescent="0.2">
      <c r="A21" s="75">
        <v>45886</v>
      </c>
      <c r="B21" s="76"/>
      <c r="C21" s="84"/>
      <c r="D21" s="78" t="str">
        <f t="shared" si="0"/>
        <v/>
      </c>
      <c r="F21" s="79">
        <v>45917</v>
      </c>
      <c r="G21" s="76"/>
      <c r="H21" s="84"/>
      <c r="I21" s="78" t="str">
        <f t="shared" si="1"/>
        <v/>
      </c>
    </row>
    <row r="22" spans="1:9" x14ac:dyDescent="0.2">
      <c r="A22" s="75">
        <v>45887</v>
      </c>
      <c r="B22" s="76">
        <v>16192.31</v>
      </c>
      <c r="C22" s="85"/>
      <c r="D22" s="78" t="str">
        <f t="shared" si="0"/>
        <v/>
      </c>
      <c r="F22" s="79">
        <v>45918</v>
      </c>
      <c r="G22" s="76"/>
      <c r="H22" s="85"/>
      <c r="I22" s="78" t="str">
        <f t="shared" si="1"/>
        <v/>
      </c>
    </row>
    <row r="23" spans="1:9" x14ac:dyDescent="0.2">
      <c r="A23" s="75">
        <v>45888</v>
      </c>
      <c r="B23" s="76">
        <v>16192.31</v>
      </c>
      <c r="C23" s="84"/>
      <c r="D23" s="78" t="str">
        <f t="shared" si="0"/>
        <v/>
      </c>
      <c r="F23" s="79">
        <v>45919</v>
      </c>
      <c r="G23" s="76"/>
      <c r="H23" s="85"/>
      <c r="I23" s="78" t="str">
        <f t="shared" si="1"/>
        <v/>
      </c>
    </row>
    <row r="24" spans="1:9" x14ac:dyDescent="0.2">
      <c r="A24" s="75">
        <v>45889</v>
      </c>
      <c r="B24" s="76">
        <v>16192.31</v>
      </c>
      <c r="C24" s="84"/>
      <c r="D24" s="78" t="str">
        <f t="shared" si="0"/>
        <v/>
      </c>
      <c r="F24" s="79">
        <v>45920</v>
      </c>
      <c r="G24" s="76"/>
      <c r="H24" s="85"/>
      <c r="I24" s="78" t="str">
        <f t="shared" si="1"/>
        <v/>
      </c>
    </row>
    <row r="25" spans="1:9" x14ac:dyDescent="0.2">
      <c r="A25" s="75">
        <v>45890</v>
      </c>
      <c r="B25" s="76">
        <v>16192.31</v>
      </c>
      <c r="C25" s="84"/>
      <c r="D25" s="78" t="str">
        <f t="shared" si="0"/>
        <v/>
      </c>
      <c r="F25" s="79">
        <v>45921</v>
      </c>
      <c r="G25" s="76"/>
      <c r="H25" s="85"/>
      <c r="I25" s="78" t="str">
        <f t="shared" si="1"/>
        <v/>
      </c>
    </row>
    <row r="26" spans="1:9" x14ac:dyDescent="0.2">
      <c r="A26" s="75">
        <v>45891</v>
      </c>
      <c r="B26" s="76">
        <v>16192.31</v>
      </c>
      <c r="C26" s="84"/>
      <c r="D26" s="78" t="str">
        <f t="shared" si="0"/>
        <v/>
      </c>
      <c r="F26" s="79">
        <v>45922</v>
      </c>
      <c r="G26" s="76"/>
      <c r="H26" s="85"/>
      <c r="I26" s="78" t="str">
        <f t="shared" si="1"/>
        <v/>
      </c>
    </row>
    <row r="27" spans="1:9" x14ac:dyDescent="0.2">
      <c r="A27" s="75">
        <v>45892</v>
      </c>
      <c r="B27" s="76">
        <v>16192.31</v>
      </c>
      <c r="C27" s="84"/>
      <c r="D27" s="78" t="str">
        <f t="shared" si="0"/>
        <v/>
      </c>
      <c r="F27" s="79">
        <v>45923</v>
      </c>
      <c r="G27" s="76"/>
      <c r="H27" s="85"/>
      <c r="I27" s="78" t="str">
        <f t="shared" si="1"/>
        <v/>
      </c>
    </row>
    <row r="28" spans="1:9" x14ac:dyDescent="0.2">
      <c r="A28" s="75">
        <v>45893</v>
      </c>
      <c r="B28" s="76"/>
      <c r="C28" s="85"/>
      <c r="D28" s="78" t="str">
        <f t="shared" si="0"/>
        <v/>
      </c>
      <c r="F28" s="79">
        <v>45924</v>
      </c>
      <c r="G28" s="76"/>
      <c r="H28" s="85"/>
      <c r="I28" s="78" t="str">
        <f t="shared" si="1"/>
        <v/>
      </c>
    </row>
    <row r="29" spans="1:9" x14ac:dyDescent="0.2">
      <c r="A29" s="75">
        <v>45894</v>
      </c>
      <c r="B29" s="76">
        <v>16192.31</v>
      </c>
      <c r="C29" s="84"/>
      <c r="D29" s="78" t="str">
        <f t="shared" si="0"/>
        <v/>
      </c>
      <c r="F29" s="79">
        <v>45925</v>
      </c>
      <c r="G29" s="76"/>
      <c r="H29" s="85"/>
      <c r="I29" s="78" t="str">
        <f>IF(H29&gt;0,(H29/G29),"")</f>
        <v/>
      </c>
    </row>
    <row r="30" spans="1:9" x14ac:dyDescent="0.2">
      <c r="A30" s="75">
        <v>45895</v>
      </c>
      <c r="B30" s="76">
        <v>16192.31</v>
      </c>
      <c r="C30" s="84"/>
      <c r="D30" s="78" t="str">
        <f t="shared" si="0"/>
        <v/>
      </c>
      <c r="F30" s="79">
        <v>45926</v>
      </c>
      <c r="G30" s="76"/>
      <c r="H30" s="85"/>
      <c r="I30" s="78"/>
    </row>
    <row r="31" spans="1:9" x14ac:dyDescent="0.2">
      <c r="A31" s="75">
        <v>45896</v>
      </c>
      <c r="B31" s="76">
        <v>16192.31</v>
      </c>
      <c r="C31" s="84"/>
      <c r="D31" s="78" t="str">
        <f t="shared" si="0"/>
        <v/>
      </c>
      <c r="F31" s="79">
        <v>45927</v>
      </c>
      <c r="G31" s="76"/>
      <c r="H31" s="85"/>
      <c r="I31" s="78"/>
    </row>
    <row r="32" spans="1:9" x14ac:dyDescent="0.2">
      <c r="A32" s="75">
        <v>45897</v>
      </c>
      <c r="B32" s="76">
        <v>16192.31</v>
      </c>
      <c r="C32" s="84"/>
      <c r="D32" s="78" t="str">
        <f t="shared" si="0"/>
        <v/>
      </c>
      <c r="F32" s="79">
        <v>45928</v>
      </c>
      <c r="G32" s="76"/>
      <c r="H32" s="85"/>
      <c r="I32" s="78"/>
    </row>
    <row r="33" spans="1:9" x14ac:dyDescent="0.2">
      <c r="A33" s="75">
        <v>45898</v>
      </c>
      <c r="B33" s="76">
        <v>16192.31</v>
      </c>
      <c r="C33" s="84"/>
      <c r="D33" s="78" t="str">
        <f t="shared" si="0"/>
        <v/>
      </c>
      <c r="F33" s="79">
        <v>45929</v>
      </c>
      <c r="G33" s="76"/>
      <c r="H33" s="85"/>
      <c r="I33" s="78"/>
    </row>
    <row r="34" spans="1:9" x14ac:dyDescent="0.2">
      <c r="A34" s="75">
        <v>45899</v>
      </c>
      <c r="B34" s="76">
        <v>16192.25</v>
      </c>
      <c r="C34" s="84"/>
      <c r="D34" s="78" t="str">
        <f t="shared" si="0"/>
        <v/>
      </c>
      <c r="F34" s="79">
        <v>45930</v>
      </c>
      <c r="G34" s="76"/>
      <c r="H34" s="85"/>
      <c r="I34" s="78"/>
    </row>
    <row r="35" spans="1:9" x14ac:dyDescent="0.2">
      <c r="A35" s="75">
        <v>45900</v>
      </c>
      <c r="B35" s="76"/>
      <c r="C35" s="85"/>
      <c r="D35" s="78" t="str">
        <f t="shared" si="0"/>
        <v/>
      </c>
      <c r="F35" s="79"/>
      <c r="G35" s="76"/>
      <c r="H35" s="85"/>
      <c r="I35" s="78"/>
    </row>
    <row r="36" spans="1:9" x14ac:dyDescent="0.2">
      <c r="A36" s="86"/>
      <c r="B36" s="87">
        <f>SUM(B5:B35)</f>
        <v>421000</v>
      </c>
      <c r="C36" s="88">
        <f>SUM(C5:C35)</f>
        <v>27500</v>
      </c>
      <c r="D36" s="78">
        <f t="shared" si="0"/>
        <v>6.5320665083135387E-2</v>
      </c>
      <c r="F36" s="89"/>
      <c r="G36" s="87">
        <f>SUM(G5:G35)</f>
        <v>0</v>
      </c>
      <c r="H36" s="88">
        <f>SUM(H5:H35)</f>
        <v>0</v>
      </c>
      <c r="I36" s="78" t="str">
        <f t="shared" ref="I36" si="2">IF(H36&gt;0,(H36/G36),"")</f>
        <v/>
      </c>
    </row>
    <row r="38" spans="1:9" x14ac:dyDescent="0.2">
      <c r="B38" s="92" t="s">
        <v>25</v>
      </c>
      <c r="D38" s="117" t="s">
        <v>26</v>
      </c>
      <c r="E38" s="93"/>
      <c r="G38" s="92" t="s">
        <v>25</v>
      </c>
      <c r="I38" s="117" t="s">
        <v>26</v>
      </c>
    </row>
    <row r="39" spans="1:9" x14ac:dyDescent="0.2">
      <c r="B39" s="94">
        <v>421000</v>
      </c>
      <c r="D39" s="76">
        <f>B39/26</f>
        <v>16192.307692307691</v>
      </c>
      <c r="E39" s="95"/>
      <c r="G39" s="96"/>
      <c r="I39" s="97">
        <f>G39/26</f>
        <v>0</v>
      </c>
    </row>
    <row r="40" spans="1:9" ht="13.5" thickBot="1" x14ac:dyDescent="0.25"/>
    <row r="41" spans="1:9" x14ac:dyDescent="0.2">
      <c r="A41" s="98" t="s">
        <v>106</v>
      </c>
      <c r="B41" s="99"/>
      <c r="C41" s="100"/>
      <c r="D41" s="101"/>
      <c r="E41" s="102"/>
    </row>
    <row r="42" spans="1:9" x14ac:dyDescent="0.2">
      <c r="A42" s="103" t="s">
        <v>74</v>
      </c>
      <c r="B42" s="104"/>
      <c r="C42" s="105"/>
      <c r="D42" s="106"/>
      <c r="E42" s="107"/>
    </row>
    <row r="43" spans="1:9" x14ac:dyDescent="0.2">
      <c r="A43" s="103" t="s">
        <v>46</v>
      </c>
      <c r="B43" s="104"/>
      <c r="C43" s="105"/>
      <c r="D43" s="106"/>
      <c r="E43" s="107"/>
    </row>
    <row r="44" spans="1:9" ht="13.5" thickBot="1" x14ac:dyDescent="0.25">
      <c r="A44" s="108" t="s">
        <v>47</v>
      </c>
      <c r="B44" s="109"/>
      <c r="C44" s="110"/>
      <c r="D44" s="111"/>
      <c r="E44" s="112"/>
      <c r="G44" s="113"/>
      <c r="H44" s="114"/>
    </row>
    <row r="45" spans="1:9" x14ac:dyDescent="0.2">
      <c r="G45" s="113"/>
      <c r="H45" s="114"/>
    </row>
  </sheetData>
  <mergeCells count="3">
    <mergeCell ref="G3:I3"/>
    <mergeCell ref="B3:D3"/>
    <mergeCell ref="B1:H1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91A67-6F2F-4285-91B3-1DCBADA83540}">
  <dimension ref="A1:J22"/>
  <sheetViews>
    <sheetView workbookViewId="0">
      <pane ySplit="4" topLeftCell="A5" activePane="bottomLeft" state="frozen"/>
      <selection pane="bottomLeft" activeCell="A6" sqref="A6"/>
    </sheetView>
  </sheetViews>
  <sheetFormatPr defaultRowHeight="15" x14ac:dyDescent="0.25"/>
  <cols>
    <col min="1" max="1" width="27.140625" customWidth="1"/>
    <col min="2" max="2" width="27" customWidth="1"/>
    <col min="3" max="3" width="16.28515625" customWidth="1"/>
    <col min="4" max="4" width="17.5703125" customWidth="1"/>
    <col min="5" max="5" width="15.5703125" customWidth="1"/>
    <col min="6" max="6" width="30.42578125" customWidth="1"/>
    <col min="7" max="7" width="24.5703125" customWidth="1"/>
    <col min="8" max="8" width="26" customWidth="1"/>
  </cols>
  <sheetData>
    <row r="1" spans="1:10" s="32" customFormat="1" ht="16.5" thickBot="1" x14ac:dyDescent="0.3">
      <c r="A1" s="6"/>
      <c r="B1" s="184" t="s">
        <v>70</v>
      </c>
      <c r="C1" s="184"/>
      <c r="D1" s="184"/>
      <c r="E1" s="184"/>
      <c r="F1" s="6"/>
      <c r="G1" s="6"/>
      <c r="H1" s="6"/>
      <c r="I1" s="6"/>
      <c r="J1" s="6"/>
    </row>
    <row r="2" spans="1:10" x14ac:dyDescent="0.25">
      <c r="A2" s="185" t="s">
        <v>56</v>
      </c>
      <c r="B2" s="186"/>
      <c r="C2" s="186"/>
      <c r="D2" s="186"/>
      <c r="E2" s="187"/>
      <c r="F2" s="191" t="s">
        <v>57</v>
      </c>
      <c r="G2" s="192"/>
    </row>
    <row r="3" spans="1:10" ht="15.75" thickBot="1" x14ac:dyDescent="0.3">
      <c r="A3" s="188"/>
      <c r="B3" s="189"/>
      <c r="C3" s="189"/>
      <c r="D3" s="189"/>
      <c r="E3" s="190"/>
      <c r="F3" s="193"/>
      <c r="G3" s="194"/>
    </row>
    <row r="4" spans="1:10" ht="28.5" customHeight="1" x14ac:dyDescent="0.25">
      <c r="A4" s="46" t="s">
        <v>58</v>
      </c>
      <c r="B4" s="46" t="s">
        <v>59</v>
      </c>
      <c r="C4" s="46" t="s">
        <v>60</v>
      </c>
      <c r="D4" s="46" t="s">
        <v>61</v>
      </c>
      <c r="E4" s="46" t="s">
        <v>62</v>
      </c>
      <c r="F4" s="46" t="s">
        <v>63</v>
      </c>
      <c r="G4" s="46" t="s">
        <v>64</v>
      </c>
      <c r="H4" s="44" t="s">
        <v>50</v>
      </c>
    </row>
    <row r="5" spans="1:10" x14ac:dyDescent="0.25">
      <c r="A5" s="120"/>
      <c r="B5" s="120"/>
      <c r="C5" s="120"/>
      <c r="D5" s="140"/>
      <c r="E5" s="140"/>
      <c r="F5" s="120"/>
      <c r="G5" s="120"/>
      <c r="H5" s="120"/>
    </row>
    <row r="6" spans="1:10" x14ac:dyDescent="0.25">
      <c r="A6" s="141"/>
      <c r="B6" s="120"/>
      <c r="C6" s="120"/>
      <c r="D6" s="140"/>
      <c r="E6" s="140"/>
      <c r="F6" s="120"/>
      <c r="G6" s="120"/>
      <c r="H6" s="120"/>
    </row>
    <row r="7" spans="1:10" x14ac:dyDescent="0.25">
      <c r="A7" s="120"/>
      <c r="B7" s="120"/>
      <c r="C7" s="120"/>
      <c r="D7" s="142"/>
      <c r="E7" s="140"/>
      <c r="F7" s="143"/>
      <c r="G7" s="120"/>
      <c r="H7" s="120"/>
    </row>
    <row r="8" spans="1:10" x14ac:dyDescent="0.25">
      <c r="A8" s="120"/>
      <c r="B8" s="120"/>
      <c r="C8" s="120"/>
      <c r="D8" s="120"/>
      <c r="E8" s="144"/>
      <c r="F8" s="120"/>
      <c r="G8" s="120"/>
      <c r="H8" s="120"/>
    </row>
    <row r="9" spans="1:10" x14ac:dyDescent="0.25">
      <c r="A9" s="120"/>
      <c r="B9" s="120"/>
      <c r="C9" s="120"/>
      <c r="D9" s="146"/>
      <c r="E9" s="144"/>
      <c r="F9" s="146"/>
      <c r="G9" s="147"/>
      <c r="H9" s="120"/>
    </row>
    <row r="10" spans="1:10" x14ac:dyDescent="0.25">
      <c r="A10" s="120"/>
      <c r="B10" s="120"/>
      <c r="C10" s="146"/>
      <c r="D10" s="146"/>
      <c r="E10" s="144"/>
      <c r="F10" s="120"/>
      <c r="G10" s="120"/>
      <c r="H10" s="120"/>
    </row>
    <row r="11" spans="1:10" x14ac:dyDescent="0.25">
      <c r="A11" s="120"/>
      <c r="B11" s="120"/>
      <c r="C11" s="146"/>
      <c r="D11" s="146"/>
      <c r="E11" s="144"/>
      <c r="F11" s="120"/>
      <c r="G11" s="120"/>
      <c r="H11" s="120"/>
    </row>
    <row r="12" spans="1:10" x14ac:dyDescent="0.25">
      <c r="A12" s="120"/>
      <c r="B12" s="120"/>
      <c r="C12" s="146"/>
      <c r="D12" s="146"/>
      <c r="E12" s="144"/>
      <c r="F12" s="146"/>
      <c r="G12" s="145"/>
      <c r="H12" s="146"/>
    </row>
    <row r="13" spans="1:10" x14ac:dyDescent="0.25">
      <c r="A13" s="3"/>
      <c r="B13" s="3"/>
      <c r="C13" s="3"/>
      <c r="D13" s="3"/>
      <c r="E13" s="3"/>
      <c r="F13" s="3"/>
      <c r="G13" s="3"/>
      <c r="H13" s="3"/>
    </row>
    <row r="14" spans="1:10" x14ac:dyDescent="0.25">
      <c r="A14" s="3"/>
      <c r="B14" s="3"/>
      <c r="C14" s="3"/>
      <c r="D14" s="3"/>
      <c r="E14" s="3"/>
      <c r="F14" s="3"/>
      <c r="G14" s="3"/>
      <c r="H14" s="3"/>
    </row>
    <row r="15" spans="1:10" x14ac:dyDescent="0.25">
      <c r="A15" s="3"/>
      <c r="B15" s="3"/>
      <c r="C15" s="3"/>
      <c r="D15" s="3"/>
      <c r="E15" s="3"/>
      <c r="F15" s="3"/>
      <c r="G15" s="3"/>
      <c r="H15" s="3"/>
    </row>
    <row r="16" spans="1:10" x14ac:dyDescent="0.25">
      <c r="A16" s="3"/>
      <c r="B16" s="3"/>
      <c r="C16" s="3"/>
      <c r="D16" s="3"/>
      <c r="E16" s="3"/>
      <c r="F16" s="3"/>
      <c r="G16" s="3"/>
      <c r="H16" s="3"/>
    </row>
    <row r="17" spans="1:8" x14ac:dyDescent="0.25">
      <c r="A17" s="3"/>
      <c r="B17" s="3"/>
      <c r="C17" s="3"/>
      <c r="D17" s="3"/>
      <c r="E17" s="3"/>
      <c r="F17" s="3"/>
      <c r="G17" s="3"/>
      <c r="H17" s="3"/>
    </row>
    <row r="18" spans="1:8" x14ac:dyDescent="0.25">
      <c r="A18" s="3"/>
      <c r="B18" s="3"/>
      <c r="C18" s="3"/>
      <c r="D18" s="3"/>
      <c r="E18" s="3"/>
      <c r="F18" s="3"/>
      <c r="G18" s="3"/>
      <c r="H18" s="3"/>
    </row>
    <row r="19" spans="1:8" x14ac:dyDescent="0.25">
      <c r="A19" s="3"/>
      <c r="B19" s="3"/>
      <c r="C19" s="3"/>
      <c r="D19" s="3"/>
      <c r="E19" s="3"/>
      <c r="F19" s="3"/>
      <c r="G19" s="3"/>
      <c r="H19" s="3"/>
    </row>
    <row r="20" spans="1:8" x14ac:dyDescent="0.25">
      <c r="A20" s="3"/>
      <c r="B20" s="3"/>
      <c r="C20" s="3"/>
      <c r="D20" s="3"/>
      <c r="E20" s="3"/>
      <c r="F20" s="3"/>
      <c r="G20" s="3"/>
      <c r="H20" s="3"/>
    </row>
    <row r="21" spans="1:8" x14ac:dyDescent="0.25">
      <c r="A21" s="31"/>
      <c r="B21" s="31"/>
      <c r="C21" s="31"/>
      <c r="D21" s="31"/>
      <c r="E21" s="31"/>
      <c r="F21" s="31"/>
      <c r="G21" s="31"/>
      <c r="H21" s="31"/>
    </row>
    <row r="22" spans="1:8" x14ac:dyDescent="0.25">
      <c r="A22" s="31"/>
      <c r="B22" s="31"/>
      <c r="C22" s="31"/>
      <c r="D22" s="31"/>
      <c r="E22" s="31"/>
      <c r="F22" s="31"/>
      <c r="G22" s="31"/>
      <c r="H22" s="31"/>
    </row>
  </sheetData>
  <mergeCells count="3">
    <mergeCell ref="B1:E1"/>
    <mergeCell ref="A2:E3"/>
    <mergeCell ref="F2:G3"/>
  </mergeCells>
  <phoneticPr fontId="21" type="noConversion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D82FB-3AD5-4AD4-BB88-8E5D2BE1FEDB}">
  <dimension ref="A1:H18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13" sqref="F13"/>
    </sheetView>
  </sheetViews>
  <sheetFormatPr defaultColWidth="9.140625" defaultRowHeight="14.25" x14ac:dyDescent="0.2"/>
  <cols>
    <col min="1" max="1" width="24.140625" style="1" customWidth="1"/>
    <col min="2" max="2" width="34.85546875" style="1" bestFit="1" customWidth="1"/>
    <col min="3" max="3" width="16.5703125" style="1" customWidth="1"/>
    <col min="4" max="4" width="14.7109375" style="1" customWidth="1"/>
    <col min="5" max="5" width="13.85546875" style="1" customWidth="1"/>
    <col min="6" max="6" width="24.140625" style="1" customWidth="1"/>
    <col min="7" max="7" width="31.85546875" style="1" customWidth="1"/>
    <col min="8" max="8" width="25.140625" style="1" customWidth="1"/>
    <col min="9" max="16384" width="9.140625" style="1"/>
  </cols>
  <sheetData>
    <row r="1" spans="1:8" ht="21" thickBot="1" x14ac:dyDescent="0.35">
      <c r="B1" s="195" t="s">
        <v>71</v>
      </c>
      <c r="C1" s="195"/>
      <c r="D1" s="195"/>
      <c r="E1" s="195"/>
    </row>
    <row r="2" spans="1:8" ht="15.75" customHeight="1" x14ac:dyDescent="0.2">
      <c r="A2" s="185" t="s">
        <v>56</v>
      </c>
      <c r="B2" s="186"/>
      <c r="C2" s="186"/>
      <c r="D2" s="186"/>
      <c r="E2" s="187"/>
      <c r="F2" s="191" t="s">
        <v>57</v>
      </c>
      <c r="G2" s="192"/>
    </row>
    <row r="3" spans="1:8" ht="15" thickBot="1" x14ac:dyDescent="0.25">
      <c r="A3" s="188"/>
      <c r="B3" s="189"/>
      <c r="C3" s="189"/>
      <c r="D3" s="189"/>
      <c r="E3" s="190"/>
      <c r="F3" s="193"/>
      <c r="G3" s="194"/>
    </row>
    <row r="4" spans="1:8" ht="27.75" customHeight="1" x14ac:dyDescent="0.2">
      <c r="A4" s="45" t="s">
        <v>58</v>
      </c>
      <c r="B4" s="45" t="s">
        <v>59</v>
      </c>
      <c r="C4" s="45" t="s">
        <v>60</v>
      </c>
      <c r="D4" s="45" t="s">
        <v>61</v>
      </c>
      <c r="E4" s="46" t="s">
        <v>62</v>
      </c>
      <c r="F4" s="46" t="s">
        <v>63</v>
      </c>
      <c r="G4" s="45" t="s">
        <v>64</v>
      </c>
      <c r="H4" s="43" t="s">
        <v>50</v>
      </c>
    </row>
    <row r="5" spans="1:8" x14ac:dyDescent="0.2">
      <c r="A5" s="18"/>
      <c r="B5" s="18"/>
      <c r="C5" s="18"/>
      <c r="D5" s="29"/>
      <c r="E5" s="116"/>
      <c r="F5" s="18"/>
      <c r="G5" s="18"/>
      <c r="H5" s="18"/>
    </row>
    <row r="6" spans="1:8" x14ac:dyDescent="0.2">
      <c r="A6" s="18"/>
      <c r="B6" s="18"/>
      <c r="C6" s="18"/>
      <c r="D6" s="29"/>
      <c r="E6" s="116"/>
      <c r="F6" s="29"/>
      <c r="G6" s="116"/>
      <c r="H6" s="18"/>
    </row>
    <row r="7" spans="1:8" x14ac:dyDescent="0.2">
      <c r="A7" s="18"/>
      <c r="B7" s="18"/>
      <c r="C7" s="18"/>
      <c r="D7" s="29"/>
      <c r="E7" s="116"/>
      <c r="F7" s="29"/>
      <c r="G7" s="18"/>
      <c r="H7" s="18"/>
    </row>
    <row r="8" spans="1:8" x14ac:dyDescent="0.2">
      <c r="A8" s="18"/>
      <c r="B8" s="18"/>
      <c r="C8" s="18"/>
      <c r="D8" s="18"/>
      <c r="E8" s="18"/>
      <c r="F8" s="18"/>
      <c r="G8" s="18"/>
      <c r="H8" s="18"/>
    </row>
    <row r="9" spans="1:8" x14ac:dyDescent="0.2">
      <c r="A9" s="18"/>
      <c r="B9" s="18"/>
      <c r="C9" s="18"/>
      <c r="D9" s="29"/>
      <c r="E9" s="30"/>
      <c r="F9" s="29"/>
      <c r="G9" s="18"/>
      <c r="H9" s="18"/>
    </row>
    <row r="10" spans="1:8" x14ac:dyDescent="0.2">
      <c r="A10" s="29"/>
      <c r="B10" s="18"/>
      <c r="C10" s="18"/>
      <c r="D10" s="18"/>
      <c r="E10" s="30"/>
      <c r="F10" s="29"/>
      <c r="G10" s="18"/>
      <c r="H10" s="18"/>
    </row>
    <row r="11" spans="1:8" x14ac:dyDescent="0.2">
      <c r="A11" s="18"/>
      <c r="B11" s="18"/>
      <c r="C11" s="18"/>
      <c r="D11" s="18"/>
      <c r="E11" s="30"/>
      <c r="F11" s="18"/>
      <c r="G11" s="120"/>
      <c r="H11" s="18"/>
    </row>
    <row r="12" spans="1:8" x14ac:dyDescent="0.2">
      <c r="A12" s="18"/>
      <c r="B12" s="18"/>
      <c r="C12" s="18"/>
      <c r="D12" s="18"/>
      <c r="E12" s="30"/>
      <c r="F12" s="29"/>
      <c r="G12" s="18"/>
      <c r="H12" s="18"/>
    </row>
    <row r="13" spans="1:8" x14ac:dyDescent="0.2">
      <c r="A13" s="29"/>
      <c r="B13" s="18"/>
      <c r="C13" s="18"/>
      <c r="D13" s="18"/>
      <c r="E13" s="116"/>
      <c r="F13" s="18"/>
      <c r="G13" s="18"/>
      <c r="H13" s="18"/>
    </row>
    <row r="14" spans="1:8" x14ac:dyDescent="0.2">
      <c r="A14" s="3"/>
      <c r="B14" s="3"/>
      <c r="C14" s="3"/>
      <c r="D14" s="3"/>
      <c r="E14" s="3"/>
      <c r="F14" s="3"/>
      <c r="G14" s="3"/>
      <c r="H14" s="3"/>
    </row>
    <row r="15" spans="1:8" x14ac:dyDescent="0.2">
      <c r="A15" s="3"/>
      <c r="B15" s="3"/>
      <c r="C15" s="3"/>
      <c r="D15" s="3"/>
      <c r="E15" s="3"/>
      <c r="F15" s="3"/>
      <c r="G15" s="3"/>
      <c r="H15" s="3"/>
    </row>
    <row r="16" spans="1:8" x14ac:dyDescent="0.2">
      <c r="A16" s="3"/>
      <c r="B16" s="3"/>
      <c r="C16" s="3"/>
      <c r="D16" s="3"/>
      <c r="E16" s="3"/>
      <c r="F16" s="3"/>
      <c r="G16" s="3"/>
      <c r="H16" s="3"/>
    </row>
    <row r="17" spans="1:8" x14ac:dyDescent="0.2">
      <c r="A17" s="3"/>
      <c r="B17" s="3"/>
      <c r="C17" s="3"/>
      <c r="D17" s="3"/>
      <c r="E17" s="3"/>
      <c r="F17" s="3"/>
      <c r="G17" s="3"/>
      <c r="H17" s="3"/>
    </row>
    <row r="18" spans="1:8" x14ac:dyDescent="0.2">
      <c r="A18" s="3"/>
      <c r="B18" s="3"/>
      <c r="C18" s="3"/>
      <c r="D18" s="3"/>
      <c r="E18" s="3"/>
      <c r="F18" s="3"/>
      <c r="G18" s="3"/>
      <c r="H18" s="3"/>
    </row>
  </sheetData>
  <mergeCells count="3">
    <mergeCell ref="B1:E1"/>
    <mergeCell ref="A2:E3"/>
    <mergeCell ref="F2:G3"/>
  </mergeCells>
  <phoneticPr fontId="21" type="noConversion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PLANJ FINANCEIRO 2024</vt:lpstr>
      <vt:lpstr>PLANJ 2025</vt:lpstr>
      <vt:lpstr>METAS DE VENDAS</vt:lpstr>
      <vt:lpstr>PLANO DE AÇÃO VENDAS</vt:lpstr>
      <vt:lpstr>PLANO DE AÇÃO ADM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Claudiceia</dc:creator>
  <cp:lastModifiedBy>Sergio Rosa</cp:lastModifiedBy>
  <cp:lastPrinted>2020-07-20T20:54:55Z</cp:lastPrinted>
  <dcterms:created xsi:type="dcterms:W3CDTF">2018-06-19T15:27:39Z</dcterms:created>
  <dcterms:modified xsi:type="dcterms:W3CDTF">2025-09-24T21:52:03Z</dcterms:modified>
</cp:coreProperties>
</file>